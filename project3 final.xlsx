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TANISH JAIN\Desktop\"/>
    </mc:Choice>
  </mc:AlternateContent>
  <xr:revisionPtr revIDLastSave="0" documentId="8_{E078642E-8D02-4107-BC25-21D6690C2CBA}" xr6:coauthVersionLast="47" xr6:coauthVersionMax="47" xr10:uidLastSave="{00000000-0000-0000-0000-000000000000}"/>
  <bookViews>
    <workbookView xWindow="-108" yWindow="-108" windowWidth="23256" windowHeight="12456" firstSheet="2" activeTab="5" xr2:uid="{00000000-000D-0000-FFFF-FFFF00000000}"/>
  </bookViews>
  <sheets>
    <sheet name="Sheet1" sheetId="1" r:id="rId1"/>
    <sheet name="Scenario Summary" sheetId="5" r:id="rId2"/>
    <sheet name="linear regression" sheetId="6" r:id="rId3"/>
    <sheet name="high value customer" sheetId="7" r:id="rId4"/>
    <sheet name="dashboard" sheetId="8" r:id="rId5"/>
    <sheet name="report" sheetId="9" r:id="rId6"/>
    <sheet name="data" sheetId="2" r:id="rId7"/>
    <sheet name="electronic sales" sheetId="3" r:id="rId8"/>
  </sheets>
  <definedNames>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 i="2" l="1"/>
  <c r="U3" i="2"/>
  <c r="U2" i="2"/>
  <c r="S2" i="2" a="1"/>
  <c r="S2" i="2" s="1"/>
  <c r="R2"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3" i="2"/>
  <c r="Q4" i="2"/>
  <c r="Q5" i="2"/>
  <c r="Q6" i="2"/>
  <c r="Q7" i="2"/>
  <c r="Q2" i="2"/>
  <c r="N92" i="2"/>
  <c r="N184" i="2"/>
  <c r="N72" i="2"/>
  <c r="N77" i="2"/>
  <c r="N190" i="2"/>
  <c r="N113" i="2"/>
  <c r="N12" i="2"/>
  <c r="N179" i="2"/>
  <c r="N244" i="2"/>
  <c r="N231" i="2"/>
  <c r="N236" i="2"/>
  <c r="N143" i="2"/>
  <c r="N53" i="2"/>
  <c r="N237" i="2"/>
  <c r="N160" i="2"/>
  <c r="N196" i="2"/>
  <c r="N144" i="2"/>
  <c r="N201" i="2"/>
  <c r="N2" i="2"/>
  <c r="N3" i="2"/>
  <c r="N248" i="2"/>
  <c r="N107" i="2"/>
  <c r="N152" i="2"/>
  <c r="N245" i="2"/>
  <c r="N202" i="2"/>
  <c r="N31" i="2"/>
  <c r="N8" i="2"/>
  <c r="N224" i="2"/>
  <c r="N203" i="2"/>
  <c r="N238" i="2"/>
  <c r="N239" i="2"/>
  <c r="N151" i="2"/>
  <c r="N225" i="2"/>
  <c r="N43" i="2"/>
  <c r="N145" i="2"/>
  <c r="N197" i="2"/>
  <c r="N226" i="2"/>
  <c r="N156" i="2"/>
  <c r="N149" i="2"/>
  <c r="N218" i="2"/>
  <c r="N131" i="2"/>
  <c r="N114" i="2"/>
  <c r="N73" i="2"/>
  <c r="N4" i="2"/>
  <c r="N232" i="2"/>
  <c r="N63" i="2"/>
  <c r="N125" i="2"/>
  <c r="N157" i="2"/>
  <c r="N204" i="2"/>
  <c r="N78" i="2"/>
  <c r="N44" i="2"/>
  <c r="N9" i="2"/>
  <c r="N161" i="2"/>
  <c r="N162" i="2"/>
  <c r="N240" i="2"/>
  <c r="N38" i="2"/>
  <c r="N118" i="2"/>
  <c r="N54" i="2"/>
  <c r="N95" i="2"/>
  <c r="N87" i="2"/>
  <c r="N69" i="2"/>
  <c r="N205" i="2"/>
  <c r="N5" i="2"/>
  <c r="N132" i="2"/>
  <c r="N99" i="2"/>
  <c r="N191" i="2"/>
  <c r="N126" i="2"/>
  <c r="N104" i="2"/>
  <c r="N133" i="2"/>
  <c r="N45" i="2"/>
  <c r="N185" i="2"/>
  <c r="N186" i="2"/>
  <c r="N46" i="2"/>
  <c r="N219" i="2"/>
  <c r="N220" i="2"/>
  <c r="N153" i="2"/>
  <c r="N246" i="2"/>
  <c r="N79" i="2"/>
  <c r="N206" i="2"/>
  <c r="N119" i="2"/>
  <c r="N127" i="2"/>
  <c r="N88" i="2"/>
  <c r="N146" i="2"/>
  <c r="N227" i="2"/>
  <c r="N19" i="2"/>
  <c r="N24" i="2"/>
  <c r="N134" i="2"/>
  <c r="N108" i="2"/>
  <c r="N200" i="2"/>
  <c r="N61" i="2"/>
  <c r="N233" i="2"/>
  <c r="N120" i="2"/>
  <c r="N47" i="2"/>
  <c r="N135" i="2"/>
  <c r="N80" i="2"/>
  <c r="N25" i="2"/>
  <c r="N13" i="2"/>
  <c r="N20" i="2"/>
  <c r="N74" i="2"/>
  <c r="N163" i="2"/>
  <c r="N180" i="2"/>
  <c r="N164" i="2"/>
  <c r="N48" i="2"/>
  <c r="N14" i="2"/>
  <c r="N181" i="2"/>
  <c r="N55" i="2"/>
  <c r="N81" i="2"/>
  <c r="N182" i="2"/>
  <c r="N165" i="2"/>
  <c r="N187" i="2"/>
  <c r="N136" i="2"/>
  <c r="N175" i="2"/>
  <c r="N64" i="2"/>
  <c r="N100" i="2"/>
  <c r="N221" i="2"/>
  <c r="N101" i="2"/>
  <c r="N49" i="2"/>
  <c r="N89" i="2"/>
  <c r="N249" i="2"/>
  <c r="N32" i="2"/>
  <c r="N56" i="2"/>
  <c r="N166" i="2"/>
  <c r="N82" i="2"/>
  <c r="N57" i="2"/>
  <c r="N167" i="2"/>
  <c r="N15" i="2"/>
  <c r="N65" i="2"/>
  <c r="N21" i="2"/>
  <c r="N128" i="2"/>
  <c r="N222" i="2"/>
  <c r="N154" i="2"/>
  <c r="N192" i="2"/>
  <c r="N36" i="2"/>
  <c r="N228" i="2"/>
  <c r="N109" i="2"/>
  <c r="N234" i="2"/>
  <c r="N241" i="2"/>
  <c r="N6" i="2"/>
  <c r="N168" i="2"/>
  <c r="N169" i="2"/>
  <c r="N137" i="2"/>
  <c r="N110" i="2"/>
  <c r="N111" i="2"/>
  <c r="N90" i="2"/>
  <c r="N242" i="2"/>
  <c r="N102" i="2"/>
  <c r="N75" i="2"/>
  <c r="N207" i="2"/>
  <c r="N76" i="2"/>
  <c r="N103" i="2"/>
  <c r="N83" i="2"/>
  <c r="N33" i="2"/>
  <c r="N70" i="2"/>
  <c r="N58" i="2"/>
  <c r="N121" i="2"/>
  <c r="N34" i="2"/>
  <c r="N247" i="2"/>
  <c r="N158" i="2"/>
  <c r="N66" i="2"/>
  <c r="N170" i="2"/>
  <c r="N84" i="2"/>
  <c r="N91" i="2"/>
  <c r="N39" i="2"/>
  <c r="N138" i="2"/>
  <c r="N176" i="2"/>
  <c r="N198" i="2"/>
  <c r="N67" i="2"/>
  <c r="N10" i="2"/>
  <c r="N85" i="2"/>
  <c r="N50" i="2"/>
  <c r="N22" i="2"/>
  <c r="N208" i="2"/>
  <c r="N183" i="2"/>
  <c r="N250" i="2"/>
  <c r="N139" i="2"/>
  <c r="N40" i="2"/>
  <c r="N177" i="2"/>
  <c r="N193" i="2"/>
  <c r="N115" i="2"/>
  <c r="N209" i="2"/>
  <c r="N171" i="2"/>
  <c r="N16" i="2"/>
  <c r="N140" i="2"/>
  <c r="N26" i="2"/>
  <c r="N116" i="2"/>
  <c r="N41" i="2"/>
  <c r="N105" i="2"/>
  <c r="N106" i="2"/>
  <c r="N122" i="2"/>
  <c r="N147" i="2"/>
  <c r="N150" i="2"/>
  <c r="N199" i="2"/>
  <c r="N112" i="2"/>
  <c r="N172" i="2"/>
  <c r="N17" i="2"/>
  <c r="N178" i="2"/>
  <c r="N210" i="2"/>
  <c r="N59" i="2"/>
  <c r="N173" i="2"/>
  <c r="N123" i="2"/>
  <c r="N188" i="2"/>
  <c r="N235" i="2"/>
  <c r="N174" i="2"/>
  <c r="N27" i="2"/>
  <c r="N28" i="2"/>
  <c r="N86" i="2"/>
  <c r="N124" i="2"/>
  <c r="N155" i="2"/>
  <c r="N148" i="2"/>
  <c r="N141" i="2"/>
  <c r="N211" i="2"/>
  <c r="N51" i="2"/>
  <c r="N29" i="2"/>
  <c r="N194" i="2"/>
  <c r="N243" i="2"/>
  <c r="N35" i="2"/>
  <c r="N212" i="2"/>
  <c r="N11" i="2"/>
  <c r="N18" i="2"/>
  <c r="N62" i="2"/>
  <c r="N60" i="2"/>
  <c r="N52" i="2"/>
  <c r="N37" i="2"/>
  <c r="N189" i="2"/>
  <c r="N142" i="2"/>
  <c r="N230" i="2"/>
  <c r="N195" i="2"/>
  <c r="N68" i="2"/>
  <c r="N159" i="2"/>
  <c r="N130" i="2"/>
  <c r="N71" i="2"/>
  <c r="N117" i="2"/>
  <c r="N42" i="2"/>
  <c r="N7" i="2"/>
  <c r="N94" i="2"/>
  <c r="N30" i="2"/>
  <c r="N98" i="2"/>
  <c r="N129" i="2"/>
  <c r="N217" i="2"/>
  <c r="N223" i="2"/>
  <c r="N97" i="2"/>
  <c r="N215" i="2"/>
  <c r="N23" i="2"/>
  <c r="N216" i="2"/>
  <c r="N229" i="2"/>
  <c r="N93" i="2"/>
  <c r="N213" i="2"/>
  <c r="N214" i="2"/>
  <c r="N96" i="2"/>
  <c r="P4" i="2" l="1"/>
  <c r="P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<sst xmlns="http://schemas.openxmlformats.org/spreadsheetml/2006/main" count="3626" uniqueCount="462">
  <si>
    <t>PR. Final Project - "Data Intelligence Dashboard"</t>
  </si>
  <si>
    <r>
      <t xml:space="preserve">Dataset: </t>
    </r>
    <r>
      <rPr>
        <sz val="11"/>
        <color theme="1"/>
        <rFont val="Calibri"/>
        <family val="2"/>
        <scheme val="minor"/>
      </rPr>
      <t xml:space="preserve">Use the 'Final Project Dataset' sheet containing 200+ records of customer transactions.
</t>
    </r>
    <r>
      <rPr>
        <b/>
        <sz val="11"/>
        <color theme="1"/>
        <rFont val="Calibri"/>
        <family val="2"/>
        <scheme val="minor"/>
      </rPr>
      <t xml:space="preserve">Objective: </t>
    </r>
    <r>
      <rPr>
        <sz val="11"/>
        <color theme="1"/>
        <rFont val="Calibri"/>
        <family val="2"/>
        <scheme val="minor"/>
      </rPr>
      <t xml:space="preserve">
Create a full-fledged analysis and reporting solution using Excel to analyze customer transactions, find insights, 
and build visualizations and dashboards.
</t>
    </r>
    <r>
      <rPr>
        <b/>
        <sz val="11"/>
        <color rgb="FF367526"/>
        <rFont val="Calibri"/>
        <family val="2"/>
        <scheme val="minor"/>
      </rPr>
      <t xml:space="preserve">Key Topics to Implement:
</t>
    </r>
    <r>
      <rPr>
        <sz val="11"/>
        <color rgb="FF38761D"/>
        <rFont val="Calibri"/>
        <family val="2"/>
        <scheme val="minor"/>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family val="2"/>
        <scheme val="minor"/>
      </rPr>
      <t xml:space="preserve">
</t>
    </r>
    <r>
      <rPr>
        <b/>
        <sz val="11"/>
        <color theme="1"/>
        <rFont val="Calibri"/>
        <family val="2"/>
        <scheme val="minor"/>
      </rPr>
      <t xml:space="preserve">Deliverable:
</t>
    </r>
    <r>
      <rPr>
        <sz val="11"/>
        <color theme="1"/>
        <rFont val="Calibri"/>
        <family val="2"/>
        <scheme val="minor"/>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</si>
  <si>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</si>
  <si>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</si>
  <si>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</si>
  <si>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</si>
  <si>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</si>
  <si>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</si>
  <si>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</si>
  <si>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</si>
  <si>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</si>
  <si>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</si>
  <si>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</si>
  <si>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</si>
  <si>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</si>
  <si>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</si>
  <si>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</si>
  <si>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</si>
  <si>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</si>
  <si>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</si>
  <si>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</si>
  <si>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</si>
  <si>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</si>
  <si>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</si>
  <si>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</si>
  <si>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</si>
  <si>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</si>
  <si>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</si>
  <si>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</si>
  <si>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</si>
  <si>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</si>
  <si>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</si>
  <si>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</si>
  <si>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</si>
  <si>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</si>
  <si>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</si>
  <si>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</si>
  <si>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</si>
  <si>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</si>
  <si>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</si>
  <si>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</si>
  <si>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</si>
  <si>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</si>
  <si>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</si>
  <si>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</si>
  <si>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</si>
  <si>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</si>
  <si>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</si>
  <si>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</si>
  <si>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</si>
  <si>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</si>
  <si>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</si>
  <si>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</si>
  <si>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</si>
  <si>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</si>
  <si>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</si>
  <si>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</si>
  <si>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</si>
  <si>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</si>
  <si>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</si>
  <si>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</si>
  <si>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</si>
  <si>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</si>
  <si>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</si>
  <si>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</si>
  <si>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</si>
  <si>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</si>
  <si>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</si>
  <si>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</si>
  <si>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</si>
  <si>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</si>
  <si>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</si>
  <si>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</si>
  <si>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</si>
  <si>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</si>
  <si>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</si>
  <si>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</si>
  <si>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</si>
  <si>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</si>
  <si>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</si>
  <si>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</si>
  <si>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</si>
  <si>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</si>
  <si>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</si>
  <si>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</si>
  <si>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</si>
  <si>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</si>
  <si>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</si>
  <si>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</si>
  <si>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</si>
  <si>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</si>
  <si>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</si>
  <si>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</si>
  <si>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</si>
  <si>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</si>
  <si>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</si>
  <si>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</si>
  <si>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</si>
  <si>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</si>
  <si>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</si>
  <si>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</si>
  <si>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</si>
  <si>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</si>
  <si>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</si>
  <si>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</si>
  <si>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</si>
  <si>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</si>
  <si>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</si>
  <si>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</si>
  <si>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</si>
  <si>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</si>
  <si>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</si>
  <si>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</si>
  <si>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</si>
  <si>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</si>
  <si>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</si>
  <si>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</si>
  <si>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</si>
  <si>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</si>
  <si>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</si>
  <si>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</si>
  <si>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</si>
  <si>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</si>
  <si>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</si>
  <si>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</si>
  <si>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</si>
  <si>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</si>
  <si>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</si>
  <si>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</si>
  <si>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</si>
  <si>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</si>
  <si>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</si>
  <si>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</si>
  <si>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</si>
  <si>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</si>
  <si>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</si>
  <si>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</si>
  <si>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</si>
  <si>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</si>
  <si>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</si>
  <si>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</si>
  <si>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</si>
  <si>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</si>
  <si>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</si>
  <si>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</si>
  <si>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</si>
  <si>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</si>
  <si>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</si>
  <si>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</si>
  <si>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</si>
  <si>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</si>
  <si>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</si>
  <si>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</si>
  <si>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</si>
  <si>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</si>
  <si>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</si>
  <si>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</si>
  <si>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</si>
  <si>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</si>
  <si>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</si>
  <si>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</si>
  <si>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</si>
  <si>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</si>
  <si>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</si>
  <si>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</si>
  <si>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</si>
  <si>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</si>
  <si>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</si>
  <si>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</si>
  <si>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</si>
  <si>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</si>
  <si>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</si>
  <si>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</si>
  <si>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</si>
  <si>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</si>
  <si>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</si>
  <si>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</si>
  <si>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</si>
  <si>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</si>
  <si>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</si>
  <si>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</si>
  <si>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</si>
  <si>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</si>
  <si>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</si>
  <si>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</si>
  <si>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</si>
  <si>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</si>
  <si>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</si>
  <si>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</si>
  <si>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</si>
  <si>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</si>
  <si>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</si>
  <si>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</si>
  <si>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</si>
  <si>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</si>
  <si>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</si>
  <si>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</si>
  <si>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</si>
  <si>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</si>
  <si>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</si>
  <si>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</si>
  <si>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</si>
  <si>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</si>
  <si>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</si>
  <si>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</si>
  <si>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</si>
  <si>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</si>
  <si>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</si>
  <si>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</si>
  <si>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</si>
  <si>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</si>
  <si>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</si>
  <si>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</si>
  <si>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</si>
  <si>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</si>
  <si>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</si>
  <si>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</si>
  <si>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</si>
  <si>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</si>
  <si>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</si>
  <si>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</si>
  <si>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</si>
  <si>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</si>
  <si>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</si>
  <si>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</si>
  <si>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</si>
  <si>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</si>
  <si>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</si>
  <si>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</si>
  <si>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</si>
  <si>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</si>
  <si>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</si>
  <si>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</si>
  <si>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</si>
  <si>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</si>
  <si>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</si>
  <si>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</si>
  <si>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</si>
  <si>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</si>
  <si>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</si>
  <si>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</si>
  <si>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</si>
  <si>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</si>
  <si>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</si>
  <si>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</si>
  <si>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</si>
  <si>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</si>
  <si>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</si>
  <si>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</si>
  <si>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</si>
  <si>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</si>
  <si>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</si>
  <si>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</si>
  <si>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</si>
  <si>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</si>
  <si>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</si>
  <si>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</si>
  <si>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</si>
  <si>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</si>
  <si>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</si>
  <si>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</si>
  <si>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</si>
  <si>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</si>
  <si>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</si>
  <si>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</si>
  <si>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</si>
  <si>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</si>
  <si>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</si>
  <si>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</si>
  <si>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</si>
  <si>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</si>
  <si>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</si>
  <si>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</si>
  <si>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</si>
  <si>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</si>
  <si>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</si>
  <si>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</si>
  <si>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</si>
  <si>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</si>
  <si>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</si>
  <si>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</si>
  <si>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</si>
  <si>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</si>
  <si>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</si>
  <si>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</si>
  <si>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</si>
  <si>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</si>
  <si>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</si>
  <si>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</si>
  <si>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</si>
  <si>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</si>
  <si>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</si>
  <si>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</si>
  <si>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</si>
  <si>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</si>
  <si>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</si>
  <si>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</si>
  <si>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</si>
  <si>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</si>
  <si>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</si>
  <si>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</si>
  <si>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</si>
  <si>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</si>
  <si>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</si>
  <si>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</si>
  <si>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</si>
  <si>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</si>
  <si>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</si>
  <si>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</si>
  <si>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</si>
  <si>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</si>
  <si>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</si>
  <si>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</si>
  <si>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</si>
  <si>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</si>
  <si>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</si>
  <si>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</si>
  <si>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</si>
  <si>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</si>
  <si>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</si>
  <si>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</si>
  <si>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</si>
  <si>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</si>
  <si>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</si>
  <si>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</si>
  <si>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</si>
  <si>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</si>
  <si>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</si>
  <si>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</si>
  <si>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</si>
  <si>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</si>
  <si>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</si>
  <si>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</si>
  <si>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</si>
  <si>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</si>
  <si>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</si>
  <si>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</si>
  <si>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</si>
  <si>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</si>
  <si>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</si>
  <si>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</si>
  <si>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</si>
  <si>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</si>
  <si>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</si>
  <si>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</si>
  <si>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</si>
  <si>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</si>
  <si>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</si>
  <si>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</si>
  <si>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</si>
  <si>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</si>
  <si>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</si>
  <si>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</si>
  <si>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</si>
  <si>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</si>
  <si>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</si>
  <si>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</si>
  <si>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</si>
  <si>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</si>
  <si>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</si>
  <si>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</si>
  <si>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</si>
  <si>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</si>
  <si>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</si>
  <si>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</si>
  <si>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</si>
  <si>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</si>
  <si>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</si>
  <si>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</si>
  <si>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</si>
  <si>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</si>
  <si>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</si>
  <si>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</si>
  <si>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</si>
  <si>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</si>
  <si>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</si>
  <si>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</si>
  <si>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</si>
  <si>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</si>
  <si>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</si>
  <si>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</si>
  <si>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</si>
  <si>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</si>
  <si>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</si>
  <si>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</si>
  <si>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</si>
  <si>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</si>
  <si>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</si>
  <si>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</si>
  <si>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</si>
  <si>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</si>
  <si>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</si>
  <si>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</si>
  <si>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</si>
  <si>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</si>
  <si>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</si>
  <si>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</si>
  <si>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</si>
  <si>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</si>
  <si>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</si>
  <si>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</si>
  <si>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</si>
  <si>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</si>
  <si>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datedif()</t>
  </si>
  <si>
    <t>eomonth()</t>
  </si>
  <si>
    <t>FILTER(data!A:N,data!G:G="electronics")</t>
  </si>
  <si>
    <t>$H$2</t>
  </si>
  <si>
    <t>$I$2</t>
  </si>
  <si>
    <t>$N$2</t>
  </si>
  <si>
    <t>best case</t>
  </si>
  <si>
    <t>Created by ANKAN on 2/7/2026</t>
  </si>
  <si>
    <t>average case</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</si>
  <si>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</si>
  <si>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</si>
  <si>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</si>
  <si>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</si>
  <si>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</si>
  <si>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</si>
  <si>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</si>
  <si>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</si>
  <si>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</si>
  <si>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</si>
  <si>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</si>
  <si>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</si>
  <si>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</si>
  <si>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</si>
  <si>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</si>
  <si>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</si>
  <si>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</si>
  <si>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</si>
  <si>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</si>
  <si>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</si>
  <si>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</si>
  <si>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</si>
  <si>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</si>
  <si>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</si>
  <si>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</si>
  <si>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</si>
  <si>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</si>
  <si>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</si>
  <si>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</si>
  <si>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</si>
  <si>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</si>
  <si>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</si>
  <si>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</si>
  <si>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RESIDUAL OUTPUT</t>
  </si>
  <si>
    <t>Observation</t>
  </si>
  <si>
    <t>Predicted Y</t>
  </si>
  <si>
    <t>Residuals</t>
  </si>
  <si>
    <t>Row Labels</t>
  </si>
  <si>
    <t>(blank)</t>
  </si>
  <si>
    <t>Grand Total</t>
  </si>
  <si>
    <t>Count of Total_Amount</t>
  </si>
  <si>
    <t>Sum of Total_Amount</t>
  </si>
  <si>
    <t>groupby high-value customers</t>
  </si>
  <si>
    <t>Category wise sales</t>
  </si>
  <si>
    <t>Count of Unit_Price</t>
  </si>
  <si>
    <t>Max of Total_Amount</t>
  </si>
  <si>
    <t>count</t>
  </si>
  <si>
    <t>most frequent</t>
  </si>
  <si>
    <t>matching name</t>
  </si>
  <si>
    <t>text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</si>
</sst>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1"/>
      <color rgb="FF367526"/>
      <name val="Calibri"/>
      <family val="2"/>
      <scheme val="minor"/>
    </font>
    <font>
      <sz val="11"/>
      <color rgb="FF38761D"/>
      <name val="Calibri"/>
      <family val="2"/>
      <scheme val="minor"/>
    </font>
    <font>
      <sz val="11"/>
      <color rgb="FF000000"/>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sz val="11"/>
      <color rgb="FF000000"/>
      <name val="Calibri"/>
      <charset val="1"/>
      <scheme val="minor"/>
    </font>
  </fonts>
  <fills count="6">
    <fill>
      <patternFill patternType="none"/>
    </fill>
    <fill>
      <patternFill patternType="gray125"/>
    </fill>
    <fill>
      <patternFill patternType="solid">
        <fgColor rgb="FFFFF2CC"/>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medium">
        <color rgb="FFCCCCCC"/>
      </left>
      <right style="medium">
        <color rgb="FFCCCCCC"/>
      </right>
      <top/>
      <bottom style="medium">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center" wrapText="1"/>
    </xf>
    <xf numFmtId="0" fontId="0" fillId="0" borderId="2" xfId="0" applyBorder="1" applyAlignment="1">
      <alignment vertical="center" wrapText="1"/>
    </xf>
    <xf numFmtId="0" fontId="1" fillId="0" borderId="3" xfId="0" applyFont="1" applyBorder="1" applyAlignment="1">
      <alignment wrapText="1"/>
    </xf>
    <xf numFmtId="0" fontId="0" fillId="0" borderId="2" xfId="0" applyBorder="1" applyAlignment="1">
      <alignment wrapText="1"/>
    </xf>
    <xf numFmtId="0" fontId="1" fillId="0" borderId="2" xfId="0" applyFont="1" applyBorder="1" applyAlignment="1">
      <alignment wrapText="1"/>
    </xf>
    <xf numFmtId="14" fontId="0" fillId="0" borderId="2" xfId="0" applyNumberFormat="1" applyBorder="1" applyAlignment="1">
      <alignment horizontal="right" wrapText="1"/>
    </xf>
    <xf numFmtId="0" fontId="0" fillId="0" borderId="2" xfId="0" applyBorder="1" applyAlignment="1">
      <alignment horizontal="right" wrapText="1"/>
    </xf>
    <xf numFmtId="14" fontId="0" fillId="0" borderId="2" xfId="0" applyNumberFormat="1" applyBorder="1" applyAlignment="1">
      <alignment wrapText="1"/>
    </xf>
    <xf numFmtId="22" fontId="0" fillId="0" borderId="2" xfId="0" applyNumberFormat="1" applyBorder="1" applyAlignment="1">
      <alignment wrapText="1"/>
    </xf>
    <xf numFmtId="0" fontId="4" fillId="0" borderId="0" xfId="0" applyFont="1"/>
    <xf numFmtId="0" fontId="0" fillId="0" borderId="5" xfId="0" applyBorder="1"/>
    <xf numFmtId="0" fontId="5" fillId="3" borderId="6" xfId="0" applyFont="1" applyFill="1" applyBorder="1" applyAlignment="1">
      <alignment horizontal="left"/>
    </xf>
    <xf numFmtId="0" fontId="5" fillId="3" borderId="4" xfId="0" applyFont="1" applyFill="1" applyBorder="1" applyAlignment="1">
      <alignment horizontal="left"/>
    </xf>
    <xf numFmtId="0" fontId="0" fillId="0" borderId="7" xfId="0" applyBorder="1"/>
    <xf numFmtId="0" fontId="6" fillId="4" borderId="0" xfId="0" applyFont="1" applyFill="1" applyAlignment="1">
      <alignment horizontal="left"/>
    </xf>
    <xf numFmtId="0" fontId="7" fillId="4" borderId="7" xfId="0" applyFont="1" applyFill="1" applyBorder="1" applyAlignment="1">
      <alignment horizontal="left"/>
    </xf>
    <xf numFmtId="0" fontId="6" fillId="4" borderId="5" xfId="0" applyFont="1" applyFill="1" applyBorder="1" applyAlignment="1">
      <alignment horizontal="left"/>
    </xf>
    <xf numFmtId="0" fontId="8" fillId="3" borderId="4" xfId="0" applyFont="1" applyFill="1" applyBorder="1" applyAlignment="1">
      <alignment horizontal="right"/>
    </xf>
    <xf numFmtId="0" fontId="8" fillId="3" borderId="6" xfId="0" applyFont="1" applyFill="1" applyBorder="1" applyAlignment="1">
      <alignment horizontal="right"/>
    </xf>
    <xf numFmtId="0" fontId="0" fillId="5" borderId="0" xfId="0" applyFill="1"/>
    <xf numFmtId="0" fontId="9" fillId="0" borderId="0" xfId="0" applyFont="1" applyAlignment="1">
      <alignment vertical="top" wrapText="1"/>
    </xf>
    <xf numFmtId="0" fontId="10" fillId="0" borderId="8" xfId="0" applyFont="1" applyBorder="1" applyAlignment="1">
      <alignment horizontal="center"/>
    </xf>
    <xf numFmtId="0" fontId="10" fillId="0" borderId="8" xfId="0" applyFont="1" applyBorder="1" applyAlignment="1">
      <alignment horizontal="centerContinuous"/>
    </xf>
    <xf numFmtId="0" fontId="4" fillId="0" borderId="9" xfId="0" applyFont="1" applyBorder="1" applyAlignment="1">
      <alignment wrapText="1"/>
    </xf>
    <xf numFmtId="14" fontId="4" fillId="0" borderId="9" xfId="0" applyNumberFormat="1" applyFont="1" applyBorder="1" applyAlignment="1">
      <alignment wrapText="1"/>
    </xf>
    <xf numFmtId="0" fontId="11" fillId="0" borderId="10" xfId="0" applyFont="1" applyBorder="1" applyAlignment="1">
      <alignment readingOrder="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wrapText="1"/>
    </xf>
    <xf numFmtId="0" fontId="0" fillId="0" borderId="0" xfId="0" pivotButton="1" applyAlignment="1">
      <alignment wrapText="1"/>
    </xf>
    <xf numFmtId="0" fontId="0" fillId="0" borderId="0" xfId="0" applyAlignment="1">
      <alignment horizontal="left" wrapText="1"/>
    </xf>
    <xf numFmtId="0" fontId="0" fillId="0" borderId="0" xfId="0" applyNumberFormat="1" applyAlignment="1">
      <alignment wrapText="1"/>
    </xf>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wrapText="1" readingOrder="0"/>
    </dxf>
    <dxf>
      <alignment wrapText="1" readingOrder="0"/>
    </dxf>
    <dxf>
      <alignment wrapTex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a:pPr>
            <a:r>
              <a:rPr lang="en-US"/>
              <a:t>X Variable 1 Line Fit  Plot</a:t>
            </a:r>
          </a:p>
        </c:rich>
      </c:tx>
      <c:overlay val="0"/>
    </c:title>
    <c:autoTitleDeleted val="0"/>
    <c:plotArea>
      <c:layout/>
      <c:scatterChart>
        <c:scatterStyle val="lineMarker"/>
        <c:varyColors val="0"/>
        <c:ser>
          <c:idx val="0"/>
          <c:order val="0"/>
          <c:tx>
            <c:v>Y</c:v>
          </c:tx>
          <c:spPr>
            <a:ln w="47625">
              <a:noFill/>
            </a:ln>
          </c:spPr>
          <c:xVal>
            <c:numRef>
              <c:f>data!$H$2:$H$250</c:f>
              <c:numCache>
                <c:formatCode>General</c:formatCode>
                <c:ptCount val="249"/>
                <c:pt idx="0">
                  <c:v>5</c:v>
                </c:pt>
                <c:pt idx="1">
                  <c:v>5</c:v>
                </c:pt>
                <c:pt idx="2">
                  <c:v>5</c:v>
                </c:pt>
                <c:pt idx="3">
                  <c:v>5</c:v>
                </c:pt>
                <c:pt idx="4">
                  <c:v>5</c:v>
                </c:pt>
                <c:pt idx="5">
                  <c:v>4</c:v>
                </c:pt>
                <c:pt idx="6">
                  <c:v>4</c:v>
                </c:pt>
                <c:pt idx="7">
                  <c:v>4</c:v>
                </c:pt>
                <c:pt idx="8">
                  <c:v>4</c:v>
                </c:pt>
                <c:pt idx="9">
                  <c:v>5</c:v>
                </c:pt>
                <c:pt idx="10">
                  <c:v>5</c:v>
                </c:pt>
                <c:pt idx="11">
                  <c:v>5</c:v>
                </c:pt>
                <c:pt idx="12">
                  <c:v>5</c:v>
                </c:pt>
                <c:pt idx="13">
                  <c:v>5</c:v>
                </c:pt>
                <c:pt idx="14">
                  <c:v>5</c:v>
                </c:pt>
                <c:pt idx="15">
                  <c:v>5</c:v>
                </c:pt>
                <c:pt idx="16">
                  <c:v>4</c:v>
                </c:pt>
                <c:pt idx="17">
                  <c:v>4</c:v>
                </c:pt>
                <c:pt idx="18">
                  <c:v>4</c:v>
                </c:pt>
                <c:pt idx="19">
                  <c:v>4</c:v>
                </c:pt>
                <c:pt idx="20">
                  <c:v>4</c:v>
                </c:pt>
                <c:pt idx="21">
                  <c:v>3</c:v>
                </c:pt>
                <c:pt idx="22">
                  <c:v>3</c:v>
                </c:pt>
                <c:pt idx="23">
                  <c:v>3</c:v>
                </c:pt>
                <c:pt idx="24">
                  <c:v>3</c:v>
                </c:pt>
                <c:pt idx="25">
                  <c:v>3</c:v>
                </c:pt>
                <c:pt idx="26">
                  <c:v>3</c:v>
                </c:pt>
                <c:pt idx="27">
                  <c:v>3</c:v>
                </c:pt>
                <c:pt idx="28">
                  <c:v>3</c:v>
                </c:pt>
                <c:pt idx="29">
                  <c:v>3</c:v>
                </c:pt>
                <c:pt idx="30">
                  <c:v>3</c:v>
                </c:pt>
                <c:pt idx="31">
                  <c:v>3</c:v>
                </c:pt>
                <c:pt idx="32">
                  <c:v>3</c:v>
                </c:pt>
                <c:pt idx="33">
                  <c:v>3</c:v>
                </c:pt>
                <c:pt idx="34">
                  <c:v>2</c:v>
                </c:pt>
                <c:pt idx="35">
                  <c:v>5</c:v>
                </c:pt>
                <c:pt idx="36">
                  <c:v>5</c:v>
                </c:pt>
                <c:pt idx="37">
                  <c:v>5</c:v>
                </c:pt>
                <c:pt idx="38">
                  <c:v>5</c:v>
                </c:pt>
                <c:pt idx="39">
                  <c:v>5</c:v>
                </c:pt>
                <c:pt idx="40">
                  <c:v>2</c:v>
                </c:pt>
                <c:pt idx="41">
                  <c:v>2</c:v>
                </c:pt>
                <c:pt idx="42">
                  <c:v>2</c:v>
                </c:pt>
                <c:pt idx="43">
                  <c:v>2</c:v>
                </c:pt>
                <c:pt idx="44">
                  <c:v>2</c:v>
                </c:pt>
                <c:pt idx="45">
                  <c:v>2</c:v>
                </c:pt>
                <c:pt idx="46">
                  <c:v>2</c:v>
                </c:pt>
                <c:pt idx="47">
                  <c:v>2</c:v>
                </c:pt>
                <c:pt idx="48">
                  <c:v>2</c:v>
                </c:pt>
                <c:pt idx="49">
                  <c:v>2</c:v>
                </c:pt>
                <c:pt idx="50">
                  <c:v>5</c:v>
                </c:pt>
                <c:pt idx="51">
                  <c:v>5</c:v>
                </c:pt>
                <c:pt idx="52">
                  <c:v>5</c:v>
                </c:pt>
                <c:pt idx="53">
                  <c:v>5</c:v>
                </c:pt>
                <c:pt idx="54">
                  <c:v>5</c:v>
                </c:pt>
                <c:pt idx="55">
                  <c:v>5</c:v>
                </c:pt>
                <c:pt idx="56">
                  <c:v>5</c:v>
                </c:pt>
                <c:pt idx="57">
                  <c:v>5</c:v>
                </c:pt>
                <c:pt idx="58">
                  <c:v>4</c:v>
                </c:pt>
                <c:pt idx="59">
                  <c:v>4</c:v>
                </c:pt>
                <c:pt idx="60">
                  <c:v>4</c:v>
                </c:pt>
                <c:pt idx="61">
                  <c:v>4</c:v>
                </c:pt>
                <c:pt idx="62">
                  <c:v>4</c:v>
                </c:pt>
                <c:pt idx="63">
                  <c:v>4</c:v>
                </c:pt>
                <c:pt idx="64">
                  <c:v>4</c:v>
                </c:pt>
                <c:pt idx="65">
                  <c:v>4</c:v>
                </c:pt>
                <c:pt idx="66">
                  <c:v>5</c:v>
                </c:pt>
                <c:pt idx="67">
                  <c:v>5</c:v>
                </c:pt>
                <c:pt idx="68">
                  <c:v>5</c:v>
                </c:pt>
                <c:pt idx="69">
                  <c:v>1</c:v>
                </c:pt>
                <c:pt idx="70">
                  <c:v>1</c:v>
                </c:pt>
                <c:pt idx="71">
                  <c:v>1</c:v>
                </c:pt>
                <c:pt idx="72">
                  <c:v>1</c:v>
                </c:pt>
                <c:pt idx="73">
                  <c:v>1</c:v>
                </c:pt>
                <c:pt idx="74">
                  <c:v>1</c:v>
                </c:pt>
                <c:pt idx="75">
                  <c:v>3</c:v>
                </c:pt>
                <c:pt idx="76">
                  <c:v>3</c:v>
                </c:pt>
                <c:pt idx="77">
                  <c:v>3</c:v>
                </c:pt>
                <c:pt idx="78">
                  <c:v>3</c:v>
                </c:pt>
                <c:pt idx="79">
                  <c:v>3</c:v>
                </c:pt>
                <c:pt idx="80">
                  <c:v>3</c:v>
                </c:pt>
                <c:pt idx="81">
                  <c:v>3</c:v>
                </c:pt>
                <c:pt idx="82">
                  <c:v>3</c:v>
                </c:pt>
                <c:pt idx="83">
                  <c:v>3</c:v>
                </c:pt>
                <c:pt idx="84">
                  <c:v>3</c:v>
                </c:pt>
                <c:pt idx="85">
                  <c:v>4</c:v>
                </c:pt>
                <c:pt idx="86">
                  <c:v>4</c:v>
                </c:pt>
                <c:pt idx="87">
                  <c:v>4</c:v>
                </c:pt>
                <c:pt idx="88">
                  <c:v>4</c:v>
                </c:pt>
                <c:pt idx="89">
                  <c:v>4</c:v>
                </c:pt>
                <c:pt idx="90">
                  <c:v>3</c:v>
                </c:pt>
                <c:pt idx="91">
                  <c:v>3</c:v>
                </c:pt>
                <c:pt idx="92">
                  <c:v>3</c:v>
                </c:pt>
                <c:pt idx="93">
                  <c:v>3</c:v>
                </c:pt>
                <c:pt idx="94">
                  <c:v>5</c:v>
                </c:pt>
                <c:pt idx="95">
                  <c:v>5</c:v>
                </c:pt>
                <c:pt idx="96">
                  <c:v>5</c:v>
                </c:pt>
                <c:pt idx="97">
                  <c:v>5</c:v>
                </c:pt>
                <c:pt idx="98">
                  <c:v>5</c:v>
                </c:pt>
                <c:pt idx="99">
                  <c:v>5</c:v>
                </c:pt>
                <c:pt idx="100">
                  <c:v>5</c:v>
                </c:pt>
                <c:pt idx="101">
                  <c:v>5</c:v>
                </c:pt>
                <c:pt idx="102">
                  <c:v>1</c:v>
                </c:pt>
                <c:pt idx="103">
                  <c:v>1</c:v>
                </c:pt>
                <c:pt idx="104">
                  <c:v>1</c:v>
                </c:pt>
                <c:pt idx="105">
                  <c:v>2</c:v>
                </c:pt>
                <c:pt idx="106">
                  <c:v>2</c:v>
                </c:pt>
                <c:pt idx="107">
                  <c:v>2</c:v>
                </c:pt>
                <c:pt idx="108">
                  <c:v>2</c:v>
                </c:pt>
                <c:pt idx="109">
                  <c:v>2</c:v>
                </c:pt>
                <c:pt idx="110">
                  <c:v>2</c:v>
                </c:pt>
                <c:pt idx="111">
                  <c:v>3</c:v>
                </c:pt>
                <c:pt idx="112">
                  <c:v>3</c:v>
                </c:pt>
                <c:pt idx="113">
                  <c:v>3</c:v>
                </c:pt>
                <c:pt idx="114">
                  <c:v>3</c:v>
                </c:pt>
                <c:pt idx="115">
                  <c:v>4</c:v>
                </c:pt>
                <c:pt idx="116">
                  <c:v>4</c:v>
                </c:pt>
                <c:pt idx="117">
                  <c:v>4</c:v>
                </c:pt>
                <c:pt idx="118">
                  <c:v>4</c:v>
                </c:pt>
                <c:pt idx="119">
                  <c:v>4</c:v>
                </c:pt>
                <c:pt idx="120">
                  <c:v>4</c:v>
                </c:pt>
                <c:pt idx="121">
                  <c:v>4</c:v>
                </c:pt>
                <c:pt idx="122">
                  <c:v>4</c:v>
                </c:pt>
                <c:pt idx="123">
                  <c:v>2</c:v>
                </c:pt>
                <c:pt idx="124">
                  <c:v>2</c:v>
                </c:pt>
                <c:pt idx="125">
                  <c:v>2</c:v>
                </c:pt>
                <c:pt idx="126">
                  <c:v>2</c:v>
                </c:pt>
                <c:pt idx="127">
                  <c:v>3</c:v>
                </c:pt>
                <c:pt idx="128">
                  <c:v>3</c:v>
                </c:pt>
                <c:pt idx="129">
                  <c:v>3</c:v>
                </c:pt>
                <c:pt idx="130">
                  <c:v>3</c:v>
                </c:pt>
                <c:pt idx="131">
                  <c:v>3</c:v>
                </c:pt>
                <c:pt idx="132">
                  <c:v>3</c:v>
                </c:pt>
                <c:pt idx="133">
                  <c:v>3</c:v>
                </c:pt>
                <c:pt idx="134">
                  <c:v>3</c:v>
                </c:pt>
                <c:pt idx="135">
                  <c:v>3</c:v>
                </c:pt>
                <c:pt idx="136">
                  <c:v>3</c:v>
                </c:pt>
                <c:pt idx="137">
                  <c:v>3</c:v>
                </c:pt>
                <c:pt idx="138">
                  <c:v>3</c:v>
                </c:pt>
                <c:pt idx="139">
                  <c:v>3</c:v>
                </c:pt>
                <c:pt idx="140">
                  <c:v>5</c:v>
                </c:pt>
                <c:pt idx="141">
                  <c:v>5</c:v>
                </c:pt>
                <c:pt idx="142">
                  <c:v>5</c:v>
                </c:pt>
                <c:pt idx="143">
                  <c:v>5</c:v>
                </c:pt>
                <c:pt idx="144">
                  <c:v>5</c:v>
                </c:pt>
                <c:pt idx="145">
                  <c:v>5</c:v>
                </c:pt>
                <c:pt idx="146">
                  <c:v>5</c:v>
                </c:pt>
                <c:pt idx="147">
                  <c:v>2</c:v>
                </c:pt>
                <c:pt idx="148">
                  <c:v>2</c:v>
                </c:pt>
                <c:pt idx="149">
                  <c:v>5</c:v>
                </c:pt>
                <c:pt idx="150">
                  <c:v>4</c:v>
                </c:pt>
                <c:pt idx="151">
                  <c:v>4</c:v>
                </c:pt>
                <c:pt idx="152">
                  <c:v>4</c:v>
                </c:pt>
                <c:pt idx="153">
                  <c:v>4</c:v>
                </c:pt>
                <c:pt idx="154">
                  <c:v>1</c:v>
                </c:pt>
                <c:pt idx="155">
                  <c:v>1</c:v>
                </c:pt>
                <c:pt idx="156">
                  <c:v>1</c:v>
                </c:pt>
                <c:pt idx="157">
                  <c:v>2</c:v>
                </c:pt>
                <c:pt idx="158">
                  <c:v>2</c:v>
                </c:pt>
                <c:pt idx="159">
                  <c:v>2</c:v>
                </c:pt>
                <c:pt idx="160">
                  <c:v>2</c:v>
                </c:pt>
                <c:pt idx="161">
                  <c:v>2</c:v>
                </c:pt>
                <c:pt idx="162">
                  <c:v>2</c:v>
                </c:pt>
                <c:pt idx="163">
                  <c:v>2</c:v>
                </c:pt>
                <c:pt idx="164">
                  <c:v>2</c:v>
                </c:pt>
                <c:pt idx="165">
                  <c:v>2</c:v>
                </c:pt>
                <c:pt idx="166">
                  <c:v>2</c:v>
                </c:pt>
                <c:pt idx="167">
                  <c:v>2</c:v>
                </c:pt>
                <c:pt idx="168">
                  <c:v>2</c:v>
                </c:pt>
                <c:pt idx="169">
                  <c:v>2</c:v>
                </c:pt>
                <c:pt idx="170">
                  <c:v>2</c:v>
                </c:pt>
                <c:pt idx="171">
                  <c:v>2</c:v>
                </c:pt>
                <c:pt idx="172">
                  <c:v>2</c:v>
                </c:pt>
                <c:pt idx="173">
                  <c:v>5</c:v>
                </c:pt>
                <c:pt idx="174">
                  <c:v>5</c:v>
                </c:pt>
                <c:pt idx="175">
                  <c:v>5</c:v>
                </c:pt>
                <c:pt idx="176">
                  <c:v>5</c:v>
                </c:pt>
                <c:pt idx="177">
                  <c:v>3</c:v>
                </c:pt>
                <c:pt idx="178">
                  <c:v>3</c:v>
                </c:pt>
                <c:pt idx="179">
                  <c:v>3</c:v>
                </c:pt>
                <c:pt idx="180">
                  <c:v>3</c:v>
                </c:pt>
                <c:pt idx="181">
                  <c:v>3</c:v>
                </c:pt>
                <c:pt idx="182">
                  <c:v>3</c:v>
                </c:pt>
                <c:pt idx="183">
                  <c:v>1</c:v>
                </c:pt>
                <c:pt idx="184">
                  <c:v>1</c:v>
                </c:pt>
                <c:pt idx="185">
                  <c:v>1</c:v>
                </c:pt>
                <c:pt idx="186">
                  <c:v>1</c:v>
                </c:pt>
                <c:pt idx="187">
                  <c:v>3</c:v>
                </c:pt>
                <c:pt idx="188">
                  <c:v>3</c:v>
                </c:pt>
                <c:pt idx="189">
                  <c:v>3</c:v>
                </c:pt>
                <c:pt idx="190">
                  <c:v>3</c:v>
                </c:pt>
                <c:pt idx="191">
                  <c:v>3</c:v>
                </c:pt>
                <c:pt idx="192">
                  <c:v>3</c:v>
                </c:pt>
                <c:pt idx="193">
                  <c:v>4</c:v>
                </c:pt>
                <c:pt idx="194">
                  <c:v>4</c:v>
                </c:pt>
                <c:pt idx="195">
                  <c:v>4</c:v>
                </c:pt>
                <c:pt idx="196">
                  <c:v>4</c:v>
                </c:pt>
                <c:pt idx="197">
                  <c:v>4</c:v>
                </c:pt>
                <c:pt idx="198">
                  <c:v>1</c:v>
                </c:pt>
                <c:pt idx="199">
                  <c:v>2</c:v>
                </c:pt>
                <c:pt idx="200">
                  <c:v>2</c:v>
                </c:pt>
                <c:pt idx="201">
                  <c:v>2</c:v>
                </c:pt>
                <c:pt idx="202">
                  <c:v>2</c:v>
                </c:pt>
                <c:pt idx="203">
                  <c:v>2</c:v>
                </c:pt>
                <c:pt idx="204">
                  <c:v>2</c:v>
                </c:pt>
                <c:pt idx="205">
                  <c:v>2</c:v>
                </c:pt>
                <c:pt idx="206">
                  <c:v>2</c:v>
                </c:pt>
                <c:pt idx="207">
                  <c:v>2</c:v>
                </c:pt>
                <c:pt idx="208">
                  <c:v>2</c:v>
                </c:pt>
                <c:pt idx="209">
                  <c:v>2</c:v>
                </c:pt>
                <c:pt idx="210">
                  <c:v>2</c:v>
                </c:pt>
                <c:pt idx="211">
                  <c:v>3</c:v>
                </c:pt>
                <c:pt idx="212">
                  <c:v>3</c:v>
                </c:pt>
                <c:pt idx="213">
                  <c:v>3</c:v>
                </c:pt>
                <c:pt idx="214">
                  <c:v>3</c:v>
                </c:pt>
                <c:pt idx="215">
                  <c:v>3</c:v>
                </c:pt>
                <c:pt idx="216">
                  <c:v>3</c:v>
                </c:pt>
                <c:pt idx="217">
                  <c:v>3</c:v>
                </c:pt>
                <c:pt idx="218">
                  <c:v>3</c:v>
                </c:pt>
                <c:pt idx="219">
                  <c:v>3</c:v>
                </c:pt>
                <c:pt idx="220">
                  <c:v>3</c:v>
                </c:pt>
                <c:pt idx="221">
                  <c:v>1</c:v>
                </c:pt>
                <c:pt idx="222">
                  <c:v>1</c:v>
                </c:pt>
                <c:pt idx="223">
                  <c:v>1</c:v>
                </c:pt>
                <c:pt idx="224">
                  <c:v>1</c:v>
                </c:pt>
                <c:pt idx="225">
                  <c:v>1</c:v>
                </c:pt>
                <c:pt idx="226">
                  <c:v>1</c:v>
                </c:pt>
                <c:pt idx="227">
                  <c:v>2</c:v>
                </c:pt>
                <c:pt idx="228">
                  <c:v>2</c:v>
                </c:pt>
                <c:pt idx="229">
                  <c:v>2</c:v>
                </c:pt>
                <c:pt idx="230">
                  <c:v>2</c:v>
                </c:pt>
                <c:pt idx="231">
                  <c:v>2</c:v>
                </c:pt>
                <c:pt idx="232">
                  <c:v>2</c:v>
                </c:pt>
                <c:pt idx="233">
                  <c:v>2</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numCache>
            </c:numRef>
          </c:xVal>
          <c:yVal>
            <c:numRef>
              <c:f>data!$N$2:$N$250</c:f>
              <c:numCache>
                <c:formatCode>General</c:formatCode>
                <c:ptCount val="249"/>
                <c:pt idx="0">
                  <c:v>4499.95</c:v>
                </c:pt>
                <c:pt idx="1">
                  <c:v>4499.95</c:v>
                </c:pt>
                <c:pt idx="2">
                  <c:v>4499.95</c:v>
                </c:pt>
                <c:pt idx="3">
                  <c:v>4499.95</c:v>
                </c:pt>
                <c:pt idx="4">
                  <c:v>4499.95</c:v>
                </c:pt>
                <c:pt idx="5">
                  <c:v>3599.96</c:v>
                </c:pt>
                <c:pt idx="6">
                  <c:v>3599.96</c:v>
                </c:pt>
                <c:pt idx="7">
                  <c:v>3599.96</c:v>
                </c:pt>
                <c:pt idx="8">
                  <c:v>3599.96</c:v>
                </c:pt>
                <c:pt idx="9">
                  <c:v>3499.95</c:v>
                </c:pt>
                <c:pt idx="10">
                  <c:v>3499.95</c:v>
                </c:pt>
                <c:pt idx="11">
                  <c:v>3499.95</c:v>
                </c:pt>
                <c:pt idx="12">
                  <c:v>3499.95</c:v>
                </c:pt>
                <c:pt idx="13">
                  <c:v>3499.95</c:v>
                </c:pt>
                <c:pt idx="14">
                  <c:v>3499.95</c:v>
                </c:pt>
                <c:pt idx="15">
                  <c:v>3499.95</c:v>
                </c:pt>
                <c:pt idx="16">
                  <c:v>2799.96</c:v>
                </c:pt>
                <c:pt idx="17">
                  <c:v>2799.96</c:v>
                </c:pt>
                <c:pt idx="18">
                  <c:v>2799.96</c:v>
                </c:pt>
                <c:pt idx="19">
                  <c:v>2799.96</c:v>
                </c:pt>
                <c:pt idx="20">
                  <c:v>2799.96</c:v>
                </c:pt>
                <c:pt idx="21">
                  <c:v>2699.9700000000003</c:v>
                </c:pt>
                <c:pt idx="22">
                  <c:v>2699.9700000000003</c:v>
                </c:pt>
                <c:pt idx="23">
                  <c:v>2699.9700000000003</c:v>
                </c:pt>
                <c:pt idx="24">
                  <c:v>2699.9700000000003</c:v>
                </c:pt>
                <c:pt idx="25">
                  <c:v>2699.9700000000003</c:v>
                </c:pt>
                <c:pt idx="26">
                  <c:v>2699.9700000000003</c:v>
                </c:pt>
                <c:pt idx="27">
                  <c:v>2699.9700000000003</c:v>
                </c:pt>
                <c:pt idx="28">
                  <c:v>2099.9700000000003</c:v>
                </c:pt>
                <c:pt idx="29">
                  <c:v>2099.9700000000003</c:v>
                </c:pt>
                <c:pt idx="30">
                  <c:v>2099.9700000000003</c:v>
                </c:pt>
                <c:pt idx="31">
                  <c:v>2099.9700000000003</c:v>
                </c:pt>
                <c:pt idx="32">
                  <c:v>2099.9700000000003</c:v>
                </c:pt>
                <c:pt idx="33">
                  <c:v>2099.9700000000003</c:v>
                </c:pt>
                <c:pt idx="34">
                  <c:v>1799.98</c:v>
                </c:pt>
                <c:pt idx="35">
                  <c:v>1499.95</c:v>
                </c:pt>
                <c:pt idx="36">
                  <c:v>1499.95</c:v>
                </c:pt>
                <c:pt idx="37">
                  <c:v>1499.95</c:v>
                </c:pt>
                <c:pt idx="38">
                  <c:v>1499.95</c:v>
                </c:pt>
                <c:pt idx="39">
                  <c:v>1499.95</c:v>
                </c:pt>
                <c:pt idx="40">
                  <c:v>1399.98</c:v>
                </c:pt>
                <c:pt idx="41">
                  <c:v>1399.98</c:v>
                </c:pt>
                <c:pt idx="42">
                  <c:v>1399.98</c:v>
                </c:pt>
                <c:pt idx="43">
                  <c:v>1399.98</c:v>
                </c:pt>
                <c:pt idx="44">
                  <c:v>1399.98</c:v>
                </c:pt>
                <c:pt idx="45">
                  <c:v>1399.98</c:v>
                </c:pt>
                <c:pt idx="46">
                  <c:v>1399.98</c:v>
                </c:pt>
                <c:pt idx="47">
                  <c:v>1399.98</c:v>
                </c:pt>
                <c:pt idx="48">
                  <c:v>1399.98</c:v>
                </c:pt>
                <c:pt idx="49">
                  <c:v>1399.98</c:v>
                </c:pt>
                <c:pt idx="50">
                  <c:v>1249.95</c:v>
                </c:pt>
                <c:pt idx="51">
                  <c:v>1249.95</c:v>
                </c:pt>
                <c:pt idx="52">
                  <c:v>1249.95</c:v>
                </c:pt>
                <c:pt idx="53">
                  <c:v>1249.95</c:v>
                </c:pt>
                <c:pt idx="54">
                  <c:v>1249.95</c:v>
                </c:pt>
                <c:pt idx="55">
                  <c:v>1249.95</c:v>
                </c:pt>
                <c:pt idx="56">
                  <c:v>1249.95</c:v>
                </c:pt>
                <c:pt idx="57">
                  <c:v>1249.95</c:v>
                </c:pt>
                <c:pt idx="58">
                  <c:v>1199.96</c:v>
                </c:pt>
                <c:pt idx="59">
                  <c:v>1199.96</c:v>
                </c:pt>
                <c:pt idx="60">
                  <c:v>999.96</c:v>
                </c:pt>
                <c:pt idx="61">
                  <c:v>999.96</c:v>
                </c:pt>
                <c:pt idx="62">
                  <c:v>999.96</c:v>
                </c:pt>
                <c:pt idx="63">
                  <c:v>999.96</c:v>
                </c:pt>
                <c:pt idx="64">
                  <c:v>999.96</c:v>
                </c:pt>
                <c:pt idx="65">
                  <c:v>999.96</c:v>
                </c:pt>
                <c:pt idx="66">
                  <c:v>999.95</c:v>
                </c:pt>
                <c:pt idx="67">
                  <c:v>999.95</c:v>
                </c:pt>
                <c:pt idx="68">
                  <c:v>999.95</c:v>
                </c:pt>
                <c:pt idx="69">
                  <c:v>899.99</c:v>
                </c:pt>
                <c:pt idx="70">
                  <c:v>899.99</c:v>
                </c:pt>
                <c:pt idx="71">
                  <c:v>899.99</c:v>
                </c:pt>
                <c:pt idx="72">
                  <c:v>899.99</c:v>
                </c:pt>
                <c:pt idx="73">
                  <c:v>899.99</c:v>
                </c:pt>
                <c:pt idx="74">
                  <c:v>899.99</c:v>
                </c:pt>
                <c:pt idx="75">
                  <c:v>899.97</c:v>
                </c:pt>
                <c:pt idx="76">
                  <c:v>899.97</c:v>
                </c:pt>
                <c:pt idx="77">
                  <c:v>899.97</c:v>
                </c:pt>
                <c:pt idx="78">
                  <c:v>899.97</c:v>
                </c:pt>
                <c:pt idx="79">
                  <c:v>899.97</c:v>
                </c:pt>
                <c:pt idx="80">
                  <c:v>899.97</c:v>
                </c:pt>
                <c:pt idx="81">
                  <c:v>899.97</c:v>
                </c:pt>
                <c:pt idx="82">
                  <c:v>899.97</c:v>
                </c:pt>
                <c:pt idx="83">
                  <c:v>899.97</c:v>
                </c:pt>
                <c:pt idx="84">
                  <c:v>899.97</c:v>
                </c:pt>
                <c:pt idx="85">
                  <c:v>799.96</c:v>
                </c:pt>
                <c:pt idx="86">
                  <c:v>799.96</c:v>
                </c:pt>
                <c:pt idx="87">
                  <c:v>799.96</c:v>
                </c:pt>
                <c:pt idx="88">
                  <c:v>799.96</c:v>
                </c:pt>
                <c:pt idx="89">
                  <c:v>799.96</c:v>
                </c:pt>
                <c:pt idx="90">
                  <c:v>749.97</c:v>
                </c:pt>
                <c:pt idx="91">
                  <c:v>749.97</c:v>
                </c:pt>
                <c:pt idx="92">
                  <c:v>749.97</c:v>
                </c:pt>
                <c:pt idx="93">
                  <c:v>749.97</c:v>
                </c:pt>
                <c:pt idx="94">
                  <c:v>749.95</c:v>
                </c:pt>
                <c:pt idx="95">
                  <c:v>749.95</c:v>
                </c:pt>
                <c:pt idx="96">
                  <c:v>749.95</c:v>
                </c:pt>
                <c:pt idx="97">
                  <c:v>749.95</c:v>
                </c:pt>
                <c:pt idx="98">
                  <c:v>749.95</c:v>
                </c:pt>
                <c:pt idx="99">
                  <c:v>749.95</c:v>
                </c:pt>
                <c:pt idx="100">
                  <c:v>749.95</c:v>
                </c:pt>
                <c:pt idx="101">
                  <c:v>749.95</c:v>
                </c:pt>
                <c:pt idx="102">
                  <c:v>699.99</c:v>
                </c:pt>
                <c:pt idx="103">
                  <c:v>699.99</c:v>
                </c:pt>
                <c:pt idx="104">
                  <c:v>699.99</c:v>
                </c:pt>
                <c:pt idx="105">
                  <c:v>599.98</c:v>
                </c:pt>
                <c:pt idx="106">
                  <c:v>599.98</c:v>
                </c:pt>
                <c:pt idx="107">
                  <c:v>599.98</c:v>
                </c:pt>
                <c:pt idx="108">
                  <c:v>599.98</c:v>
                </c:pt>
                <c:pt idx="109">
                  <c:v>599.98</c:v>
                </c:pt>
                <c:pt idx="110">
                  <c:v>599.98</c:v>
                </c:pt>
                <c:pt idx="111">
                  <c:v>599.97</c:v>
                </c:pt>
                <c:pt idx="112">
                  <c:v>599.97</c:v>
                </c:pt>
                <c:pt idx="113">
                  <c:v>599.97</c:v>
                </c:pt>
                <c:pt idx="114">
                  <c:v>599.97</c:v>
                </c:pt>
                <c:pt idx="115">
                  <c:v>599.96</c:v>
                </c:pt>
                <c:pt idx="116">
                  <c:v>599.96</c:v>
                </c:pt>
                <c:pt idx="117">
                  <c:v>599.96</c:v>
                </c:pt>
                <c:pt idx="118">
                  <c:v>599.96</c:v>
                </c:pt>
                <c:pt idx="119">
                  <c:v>599.96</c:v>
                </c:pt>
                <c:pt idx="120">
                  <c:v>599.96</c:v>
                </c:pt>
                <c:pt idx="121">
                  <c:v>599.96</c:v>
                </c:pt>
                <c:pt idx="122">
                  <c:v>599.96</c:v>
                </c:pt>
                <c:pt idx="123">
                  <c:v>499.98</c:v>
                </c:pt>
                <c:pt idx="124">
                  <c:v>499.98</c:v>
                </c:pt>
                <c:pt idx="125">
                  <c:v>499.98</c:v>
                </c:pt>
                <c:pt idx="126">
                  <c:v>499.98</c:v>
                </c:pt>
                <c:pt idx="127">
                  <c:v>449.97</c:v>
                </c:pt>
                <c:pt idx="128">
                  <c:v>449.97</c:v>
                </c:pt>
                <c:pt idx="129">
                  <c:v>449.97</c:v>
                </c:pt>
                <c:pt idx="130">
                  <c:v>449.97</c:v>
                </c:pt>
                <c:pt idx="131">
                  <c:v>449.97</c:v>
                </c:pt>
                <c:pt idx="132">
                  <c:v>449.97</c:v>
                </c:pt>
                <c:pt idx="133">
                  <c:v>449.97</c:v>
                </c:pt>
                <c:pt idx="134">
                  <c:v>449.97</c:v>
                </c:pt>
                <c:pt idx="135">
                  <c:v>449.97</c:v>
                </c:pt>
                <c:pt idx="136">
                  <c:v>449.97</c:v>
                </c:pt>
                <c:pt idx="137">
                  <c:v>449.97</c:v>
                </c:pt>
                <c:pt idx="138">
                  <c:v>449.97</c:v>
                </c:pt>
                <c:pt idx="139">
                  <c:v>449.97</c:v>
                </c:pt>
                <c:pt idx="140">
                  <c:v>449.95</c:v>
                </c:pt>
                <c:pt idx="141">
                  <c:v>449.95</c:v>
                </c:pt>
                <c:pt idx="142">
                  <c:v>449.95</c:v>
                </c:pt>
                <c:pt idx="143">
                  <c:v>449.95</c:v>
                </c:pt>
                <c:pt idx="144">
                  <c:v>449.95</c:v>
                </c:pt>
                <c:pt idx="145">
                  <c:v>449.95</c:v>
                </c:pt>
                <c:pt idx="146">
                  <c:v>449.95</c:v>
                </c:pt>
                <c:pt idx="147">
                  <c:v>399.98</c:v>
                </c:pt>
                <c:pt idx="148">
                  <c:v>399.98</c:v>
                </c:pt>
                <c:pt idx="149">
                  <c:v>399.95</c:v>
                </c:pt>
                <c:pt idx="150">
                  <c:v>359.96</c:v>
                </c:pt>
                <c:pt idx="151">
                  <c:v>319.95999999999998</c:v>
                </c:pt>
                <c:pt idx="152">
                  <c:v>319.95999999999998</c:v>
                </c:pt>
                <c:pt idx="153">
                  <c:v>319.95999999999998</c:v>
                </c:pt>
                <c:pt idx="154">
                  <c:v>299.99</c:v>
                </c:pt>
                <c:pt idx="155">
                  <c:v>299.99</c:v>
                </c:pt>
                <c:pt idx="156">
                  <c:v>299.99</c:v>
                </c:pt>
                <c:pt idx="157">
                  <c:v>299.98</c:v>
                </c:pt>
                <c:pt idx="158">
                  <c:v>299.98</c:v>
                </c:pt>
                <c:pt idx="159">
                  <c:v>299.98</c:v>
                </c:pt>
                <c:pt idx="160">
                  <c:v>299.98</c:v>
                </c:pt>
                <c:pt idx="161">
                  <c:v>299.98</c:v>
                </c:pt>
                <c:pt idx="162">
                  <c:v>299.98</c:v>
                </c:pt>
                <c:pt idx="163">
                  <c:v>299.98</c:v>
                </c:pt>
                <c:pt idx="164">
                  <c:v>299.98</c:v>
                </c:pt>
                <c:pt idx="165">
                  <c:v>299.98</c:v>
                </c:pt>
                <c:pt idx="166">
                  <c:v>299.98</c:v>
                </c:pt>
                <c:pt idx="167">
                  <c:v>299.98</c:v>
                </c:pt>
                <c:pt idx="168">
                  <c:v>299.98</c:v>
                </c:pt>
                <c:pt idx="169">
                  <c:v>299.98</c:v>
                </c:pt>
                <c:pt idx="170">
                  <c:v>299.98</c:v>
                </c:pt>
                <c:pt idx="171">
                  <c:v>299.98</c:v>
                </c:pt>
                <c:pt idx="172">
                  <c:v>299.98</c:v>
                </c:pt>
                <c:pt idx="173">
                  <c:v>299.95</c:v>
                </c:pt>
                <c:pt idx="174">
                  <c:v>299.95</c:v>
                </c:pt>
                <c:pt idx="175">
                  <c:v>299.95</c:v>
                </c:pt>
                <c:pt idx="176">
                  <c:v>299.95</c:v>
                </c:pt>
                <c:pt idx="177">
                  <c:v>269.96999999999997</c:v>
                </c:pt>
                <c:pt idx="178">
                  <c:v>269.96999999999997</c:v>
                </c:pt>
                <c:pt idx="179">
                  <c:v>269.96999999999997</c:v>
                </c:pt>
                <c:pt idx="180">
                  <c:v>269.96999999999997</c:v>
                </c:pt>
                <c:pt idx="181">
                  <c:v>269.96999999999997</c:v>
                </c:pt>
                <c:pt idx="182">
                  <c:v>269.96999999999997</c:v>
                </c:pt>
                <c:pt idx="183">
                  <c:v>249.99</c:v>
                </c:pt>
                <c:pt idx="184">
                  <c:v>249.99</c:v>
                </c:pt>
                <c:pt idx="185">
                  <c:v>249.99</c:v>
                </c:pt>
                <c:pt idx="186">
                  <c:v>249.99</c:v>
                </c:pt>
                <c:pt idx="187">
                  <c:v>239.96999999999997</c:v>
                </c:pt>
                <c:pt idx="188">
                  <c:v>239.96999999999997</c:v>
                </c:pt>
                <c:pt idx="189">
                  <c:v>239.96999999999997</c:v>
                </c:pt>
                <c:pt idx="190">
                  <c:v>239.96999999999997</c:v>
                </c:pt>
                <c:pt idx="191">
                  <c:v>239.96999999999997</c:v>
                </c:pt>
                <c:pt idx="192">
                  <c:v>239.96999999999997</c:v>
                </c:pt>
                <c:pt idx="193">
                  <c:v>239.96</c:v>
                </c:pt>
                <c:pt idx="194">
                  <c:v>239.96</c:v>
                </c:pt>
                <c:pt idx="195">
                  <c:v>239.96</c:v>
                </c:pt>
                <c:pt idx="196">
                  <c:v>239.96</c:v>
                </c:pt>
                <c:pt idx="197">
                  <c:v>239.96</c:v>
                </c:pt>
                <c:pt idx="198">
                  <c:v>199.99</c:v>
                </c:pt>
                <c:pt idx="199">
                  <c:v>179.98</c:v>
                </c:pt>
                <c:pt idx="200">
                  <c:v>179.98</c:v>
                </c:pt>
                <c:pt idx="201">
                  <c:v>179.98</c:v>
                </c:pt>
                <c:pt idx="202">
                  <c:v>179.98</c:v>
                </c:pt>
                <c:pt idx="203">
                  <c:v>179.98</c:v>
                </c:pt>
                <c:pt idx="204">
                  <c:v>179.98</c:v>
                </c:pt>
                <c:pt idx="205">
                  <c:v>179.98</c:v>
                </c:pt>
                <c:pt idx="206">
                  <c:v>179.98</c:v>
                </c:pt>
                <c:pt idx="207">
                  <c:v>179.98</c:v>
                </c:pt>
                <c:pt idx="208">
                  <c:v>179.98</c:v>
                </c:pt>
                <c:pt idx="209">
                  <c:v>179.98</c:v>
                </c:pt>
                <c:pt idx="210">
                  <c:v>179.98</c:v>
                </c:pt>
                <c:pt idx="211">
                  <c:v>179.97</c:v>
                </c:pt>
                <c:pt idx="212">
                  <c:v>179.97</c:v>
                </c:pt>
                <c:pt idx="213">
                  <c:v>179.97</c:v>
                </c:pt>
                <c:pt idx="214">
                  <c:v>179.97</c:v>
                </c:pt>
                <c:pt idx="215">
                  <c:v>179.97</c:v>
                </c:pt>
                <c:pt idx="216">
                  <c:v>179.97</c:v>
                </c:pt>
                <c:pt idx="217">
                  <c:v>179.97</c:v>
                </c:pt>
                <c:pt idx="218">
                  <c:v>179.97</c:v>
                </c:pt>
                <c:pt idx="219">
                  <c:v>179.97</c:v>
                </c:pt>
                <c:pt idx="220">
                  <c:v>179.97</c:v>
                </c:pt>
                <c:pt idx="221">
                  <c:v>149.99</c:v>
                </c:pt>
                <c:pt idx="222">
                  <c:v>149.99</c:v>
                </c:pt>
                <c:pt idx="223">
                  <c:v>149.99</c:v>
                </c:pt>
                <c:pt idx="224">
                  <c:v>149.99</c:v>
                </c:pt>
                <c:pt idx="225">
                  <c:v>149.99</c:v>
                </c:pt>
                <c:pt idx="226">
                  <c:v>149.99</c:v>
                </c:pt>
                <c:pt idx="227">
                  <c:v>119.98</c:v>
                </c:pt>
                <c:pt idx="228">
                  <c:v>119.98</c:v>
                </c:pt>
                <c:pt idx="229">
                  <c:v>119.98</c:v>
                </c:pt>
                <c:pt idx="230">
                  <c:v>119.98</c:v>
                </c:pt>
                <c:pt idx="231">
                  <c:v>119.98</c:v>
                </c:pt>
                <c:pt idx="232">
                  <c:v>119.98</c:v>
                </c:pt>
                <c:pt idx="233">
                  <c:v>119.98</c:v>
                </c:pt>
                <c:pt idx="234">
                  <c:v>89.99</c:v>
                </c:pt>
                <c:pt idx="235">
                  <c:v>89.99</c:v>
                </c:pt>
                <c:pt idx="236">
                  <c:v>89.99</c:v>
                </c:pt>
                <c:pt idx="237">
                  <c:v>89.99</c:v>
                </c:pt>
                <c:pt idx="238">
                  <c:v>89.99</c:v>
                </c:pt>
                <c:pt idx="239">
                  <c:v>89.99</c:v>
                </c:pt>
                <c:pt idx="240">
                  <c:v>89.99</c:v>
                </c:pt>
                <c:pt idx="241">
                  <c:v>89.99</c:v>
                </c:pt>
                <c:pt idx="242">
                  <c:v>79.989999999999995</c:v>
                </c:pt>
                <c:pt idx="243">
                  <c:v>79.989999999999995</c:v>
                </c:pt>
                <c:pt idx="244">
                  <c:v>79.989999999999995</c:v>
                </c:pt>
                <c:pt idx="245">
                  <c:v>79.989999999999995</c:v>
                </c:pt>
                <c:pt idx="246">
                  <c:v>59.99</c:v>
                </c:pt>
                <c:pt idx="247">
                  <c:v>59.99</c:v>
                </c:pt>
                <c:pt idx="248">
                  <c:v>59.99</c:v>
                </c:pt>
              </c:numCache>
            </c:numRef>
          </c:yVal>
          <c:smooth val="0"/>
          <c:extLst>
            <c:ext xmlns:c16="http://schemas.microsoft.com/office/drawing/2014/chart" uri="{C3380CC4-5D6E-409C-BE32-E72D297353CC}">
              <c16:uniqueId val="{00000000-5215-4E15-95EE-C3C718DCD3AF}"/>
            </c:ext>
          </c:extLst>
        </c:ser>
        <c:ser>
          <c:idx val="1"/>
          <c:order val="1"/>
          <c:tx>
            <c:v>Predicted Y</c:v>
          </c:tx>
          <c:spPr>
            <a:ln w="47625">
              <a:noFill/>
            </a:ln>
          </c:spPr>
          <c:xVal>
            <c:numRef>
              <c:f>data!$H$2:$H$250</c:f>
              <c:numCache>
                <c:formatCode>General</c:formatCode>
                <c:ptCount val="249"/>
                <c:pt idx="0">
                  <c:v>5</c:v>
                </c:pt>
                <c:pt idx="1">
                  <c:v>5</c:v>
                </c:pt>
                <c:pt idx="2">
                  <c:v>5</c:v>
                </c:pt>
                <c:pt idx="3">
                  <c:v>5</c:v>
                </c:pt>
                <c:pt idx="4">
                  <c:v>5</c:v>
                </c:pt>
                <c:pt idx="5">
                  <c:v>4</c:v>
                </c:pt>
                <c:pt idx="6">
                  <c:v>4</c:v>
                </c:pt>
                <c:pt idx="7">
                  <c:v>4</c:v>
                </c:pt>
                <c:pt idx="8">
                  <c:v>4</c:v>
                </c:pt>
                <c:pt idx="9">
                  <c:v>5</c:v>
                </c:pt>
                <c:pt idx="10">
                  <c:v>5</c:v>
                </c:pt>
                <c:pt idx="11">
                  <c:v>5</c:v>
                </c:pt>
                <c:pt idx="12">
                  <c:v>5</c:v>
                </c:pt>
                <c:pt idx="13">
                  <c:v>5</c:v>
                </c:pt>
                <c:pt idx="14">
                  <c:v>5</c:v>
                </c:pt>
                <c:pt idx="15">
                  <c:v>5</c:v>
                </c:pt>
                <c:pt idx="16">
                  <c:v>4</c:v>
                </c:pt>
                <c:pt idx="17">
                  <c:v>4</c:v>
                </c:pt>
                <c:pt idx="18">
                  <c:v>4</c:v>
                </c:pt>
                <c:pt idx="19">
                  <c:v>4</c:v>
                </c:pt>
                <c:pt idx="20">
                  <c:v>4</c:v>
                </c:pt>
                <c:pt idx="21">
                  <c:v>3</c:v>
                </c:pt>
                <c:pt idx="22">
                  <c:v>3</c:v>
                </c:pt>
                <c:pt idx="23">
                  <c:v>3</c:v>
                </c:pt>
                <c:pt idx="24">
                  <c:v>3</c:v>
                </c:pt>
                <c:pt idx="25">
                  <c:v>3</c:v>
                </c:pt>
                <c:pt idx="26">
                  <c:v>3</c:v>
                </c:pt>
                <c:pt idx="27">
                  <c:v>3</c:v>
                </c:pt>
                <c:pt idx="28">
                  <c:v>3</c:v>
                </c:pt>
                <c:pt idx="29">
                  <c:v>3</c:v>
                </c:pt>
                <c:pt idx="30">
                  <c:v>3</c:v>
                </c:pt>
                <c:pt idx="31">
                  <c:v>3</c:v>
                </c:pt>
                <c:pt idx="32">
                  <c:v>3</c:v>
                </c:pt>
                <c:pt idx="33">
                  <c:v>3</c:v>
                </c:pt>
                <c:pt idx="34">
                  <c:v>2</c:v>
                </c:pt>
                <c:pt idx="35">
                  <c:v>5</c:v>
                </c:pt>
                <c:pt idx="36">
                  <c:v>5</c:v>
                </c:pt>
                <c:pt idx="37">
                  <c:v>5</c:v>
                </c:pt>
                <c:pt idx="38">
                  <c:v>5</c:v>
                </c:pt>
                <c:pt idx="39">
                  <c:v>5</c:v>
                </c:pt>
                <c:pt idx="40">
                  <c:v>2</c:v>
                </c:pt>
                <c:pt idx="41">
                  <c:v>2</c:v>
                </c:pt>
                <c:pt idx="42">
                  <c:v>2</c:v>
                </c:pt>
                <c:pt idx="43">
                  <c:v>2</c:v>
                </c:pt>
                <c:pt idx="44">
                  <c:v>2</c:v>
                </c:pt>
                <c:pt idx="45">
                  <c:v>2</c:v>
                </c:pt>
                <c:pt idx="46">
                  <c:v>2</c:v>
                </c:pt>
                <c:pt idx="47">
                  <c:v>2</c:v>
                </c:pt>
                <c:pt idx="48">
                  <c:v>2</c:v>
                </c:pt>
                <c:pt idx="49">
                  <c:v>2</c:v>
                </c:pt>
                <c:pt idx="50">
                  <c:v>5</c:v>
                </c:pt>
                <c:pt idx="51">
                  <c:v>5</c:v>
                </c:pt>
                <c:pt idx="52">
                  <c:v>5</c:v>
                </c:pt>
                <c:pt idx="53">
                  <c:v>5</c:v>
                </c:pt>
                <c:pt idx="54">
                  <c:v>5</c:v>
                </c:pt>
                <c:pt idx="55">
                  <c:v>5</c:v>
                </c:pt>
                <c:pt idx="56">
                  <c:v>5</c:v>
                </c:pt>
                <c:pt idx="57">
                  <c:v>5</c:v>
                </c:pt>
                <c:pt idx="58">
                  <c:v>4</c:v>
                </c:pt>
                <c:pt idx="59">
                  <c:v>4</c:v>
                </c:pt>
                <c:pt idx="60">
                  <c:v>4</c:v>
                </c:pt>
                <c:pt idx="61">
                  <c:v>4</c:v>
                </c:pt>
                <c:pt idx="62">
                  <c:v>4</c:v>
                </c:pt>
                <c:pt idx="63">
                  <c:v>4</c:v>
                </c:pt>
                <c:pt idx="64">
                  <c:v>4</c:v>
                </c:pt>
                <c:pt idx="65">
                  <c:v>4</c:v>
                </c:pt>
                <c:pt idx="66">
                  <c:v>5</c:v>
                </c:pt>
                <c:pt idx="67">
                  <c:v>5</c:v>
                </c:pt>
                <c:pt idx="68">
                  <c:v>5</c:v>
                </c:pt>
                <c:pt idx="69">
                  <c:v>1</c:v>
                </c:pt>
                <c:pt idx="70">
                  <c:v>1</c:v>
                </c:pt>
                <c:pt idx="71">
                  <c:v>1</c:v>
                </c:pt>
                <c:pt idx="72">
                  <c:v>1</c:v>
                </c:pt>
                <c:pt idx="73">
                  <c:v>1</c:v>
                </c:pt>
                <c:pt idx="74">
                  <c:v>1</c:v>
                </c:pt>
                <c:pt idx="75">
                  <c:v>3</c:v>
                </c:pt>
                <c:pt idx="76">
                  <c:v>3</c:v>
                </c:pt>
                <c:pt idx="77">
                  <c:v>3</c:v>
                </c:pt>
                <c:pt idx="78">
                  <c:v>3</c:v>
                </c:pt>
                <c:pt idx="79">
                  <c:v>3</c:v>
                </c:pt>
                <c:pt idx="80">
                  <c:v>3</c:v>
                </c:pt>
                <c:pt idx="81">
                  <c:v>3</c:v>
                </c:pt>
                <c:pt idx="82">
                  <c:v>3</c:v>
                </c:pt>
                <c:pt idx="83">
                  <c:v>3</c:v>
                </c:pt>
                <c:pt idx="84">
                  <c:v>3</c:v>
                </c:pt>
                <c:pt idx="85">
                  <c:v>4</c:v>
                </c:pt>
                <c:pt idx="86">
                  <c:v>4</c:v>
                </c:pt>
                <c:pt idx="87">
                  <c:v>4</c:v>
                </c:pt>
                <c:pt idx="88">
                  <c:v>4</c:v>
                </c:pt>
                <c:pt idx="89">
                  <c:v>4</c:v>
                </c:pt>
                <c:pt idx="90">
                  <c:v>3</c:v>
                </c:pt>
                <c:pt idx="91">
                  <c:v>3</c:v>
                </c:pt>
                <c:pt idx="92">
                  <c:v>3</c:v>
                </c:pt>
                <c:pt idx="93">
                  <c:v>3</c:v>
                </c:pt>
                <c:pt idx="94">
                  <c:v>5</c:v>
                </c:pt>
                <c:pt idx="95">
                  <c:v>5</c:v>
                </c:pt>
                <c:pt idx="96">
                  <c:v>5</c:v>
                </c:pt>
                <c:pt idx="97">
                  <c:v>5</c:v>
                </c:pt>
                <c:pt idx="98">
                  <c:v>5</c:v>
                </c:pt>
                <c:pt idx="99">
                  <c:v>5</c:v>
                </c:pt>
                <c:pt idx="100">
                  <c:v>5</c:v>
                </c:pt>
                <c:pt idx="101">
                  <c:v>5</c:v>
                </c:pt>
                <c:pt idx="102">
                  <c:v>1</c:v>
                </c:pt>
                <c:pt idx="103">
                  <c:v>1</c:v>
                </c:pt>
                <c:pt idx="104">
                  <c:v>1</c:v>
                </c:pt>
                <c:pt idx="105">
                  <c:v>2</c:v>
                </c:pt>
                <c:pt idx="106">
                  <c:v>2</c:v>
                </c:pt>
                <c:pt idx="107">
                  <c:v>2</c:v>
                </c:pt>
                <c:pt idx="108">
                  <c:v>2</c:v>
                </c:pt>
                <c:pt idx="109">
                  <c:v>2</c:v>
                </c:pt>
                <c:pt idx="110">
                  <c:v>2</c:v>
                </c:pt>
                <c:pt idx="111">
                  <c:v>3</c:v>
                </c:pt>
                <c:pt idx="112">
                  <c:v>3</c:v>
                </c:pt>
                <c:pt idx="113">
                  <c:v>3</c:v>
                </c:pt>
                <c:pt idx="114">
                  <c:v>3</c:v>
                </c:pt>
                <c:pt idx="115">
                  <c:v>4</c:v>
                </c:pt>
                <c:pt idx="116">
                  <c:v>4</c:v>
                </c:pt>
                <c:pt idx="117">
                  <c:v>4</c:v>
                </c:pt>
                <c:pt idx="118">
                  <c:v>4</c:v>
                </c:pt>
                <c:pt idx="119">
                  <c:v>4</c:v>
                </c:pt>
                <c:pt idx="120">
                  <c:v>4</c:v>
                </c:pt>
                <c:pt idx="121">
                  <c:v>4</c:v>
                </c:pt>
                <c:pt idx="122">
                  <c:v>4</c:v>
                </c:pt>
                <c:pt idx="123">
                  <c:v>2</c:v>
                </c:pt>
                <c:pt idx="124">
                  <c:v>2</c:v>
                </c:pt>
                <c:pt idx="125">
                  <c:v>2</c:v>
                </c:pt>
                <c:pt idx="126">
                  <c:v>2</c:v>
                </c:pt>
                <c:pt idx="127">
                  <c:v>3</c:v>
                </c:pt>
                <c:pt idx="128">
                  <c:v>3</c:v>
                </c:pt>
                <c:pt idx="129">
                  <c:v>3</c:v>
                </c:pt>
                <c:pt idx="130">
                  <c:v>3</c:v>
                </c:pt>
                <c:pt idx="131">
                  <c:v>3</c:v>
                </c:pt>
                <c:pt idx="132">
                  <c:v>3</c:v>
                </c:pt>
                <c:pt idx="133">
                  <c:v>3</c:v>
                </c:pt>
                <c:pt idx="134">
                  <c:v>3</c:v>
                </c:pt>
                <c:pt idx="135">
                  <c:v>3</c:v>
                </c:pt>
                <c:pt idx="136">
                  <c:v>3</c:v>
                </c:pt>
                <c:pt idx="137">
                  <c:v>3</c:v>
                </c:pt>
                <c:pt idx="138">
                  <c:v>3</c:v>
                </c:pt>
                <c:pt idx="139">
                  <c:v>3</c:v>
                </c:pt>
                <c:pt idx="140">
                  <c:v>5</c:v>
                </c:pt>
                <c:pt idx="141">
                  <c:v>5</c:v>
                </c:pt>
                <c:pt idx="142">
                  <c:v>5</c:v>
                </c:pt>
                <c:pt idx="143">
                  <c:v>5</c:v>
                </c:pt>
                <c:pt idx="144">
                  <c:v>5</c:v>
                </c:pt>
                <c:pt idx="145">
                  <c:v>5</c:v>
                </c:pt>
                <c:pt idx="146">
                  <c:v>5</c:v>
                </c:pt>
                <c:pt idx="147">
                  <c:v>2</c:v>
                </c:pt>
                <c:pt idx="148">
                  <c:v>2</c:v>
                </c:pt>
                <c:pt idx="149">
                  <c:v>5</c:v>
                </c:pt>
                <c:pt idx="150">
                  <c:v>4</c:v>
                </c:pt>
                <c:pt idx="151">
                  <c:v>4</c:v>
                </c:pt>
                <c:pt idx="152">
                  <c:v>4</c:v>
                </c:pt>
                <c:pt idx="153">
                  <c:v>4</c:v>
                </c:pt>
                <c:pt idx="154">
                  <c:v>1</c:v>
                </c:pt>
                <c:pt idx="155">
                  <c:v>1</c:v>
                </c:pt>
                <c:pt idx="156">
                  <c:v>1</c:v>
                </c:pt>
                <c:pt idx="157">
                  <c:v>2</c:v>
                </c:pt>
                <c:pt idx="158">
                  <c:v>2</c:v>
                </c:pt>
                <c:pt idx="159">
                  <c:v>2</c:v>
                </c:pt>
                <c:pt idx="160">
                  <c:v>2</c:v>
                </c:pt>
                <c:pt idx="161">
                  <c:v>2</c:v>
                </c:pt>
                <c:pt idx="162">
                  <c:v>2</c:v>
                </c:pt>
                <c:pt idx="163">
                  <c:v>2</c:v>
                </c:pt>
                <c:pt idx="164">
                  <c:v>2</c:v>
                </c:pt>
                <c:pt idx="165">
                  <c:v>2</c:v>
                </c:pt>
                <c:pt idx="166">
                  <c:v>2</c:v>
                </c:pt>
                <c:pt idx="167">
                  <c:v>2</c:v>
                </c:pt>
                <c:pt idx="168">
                  <c:v>2</c:v>
                </c:pt>
                <c:pt idx="169">
                  <c:v>2</c:v>
                </c:pt>
                <c:pt idx="170">
                  <c:v>2</c:v>
                </c:pt>
                <c:pt idx="171">
                  <c:v>2</c:v>
                </c:pt>
                <c:pt idx="172">
                  <c:v>2</c:v>
                </c:pt>
                <c:pt idx="173">
                  <c:v>5</c:v>
                </c:pt>
                <c:pt idx="174">
                  <c:v>5</c:v>
                </c:pt>
                <c:pt idx="175">
                  <c:v>5</c:v>
                </c:pt>
                <c:pt idx="176">
                  <c:v>5</c:v>
                </c:pt>
                <c:pt idx="177">
                  <c:v>3</c:v>
                </c:pt>
                <c:pt idx="178">
                  <c:v>3</c:v>
                </c:pt>
                <c:pt idx="179">
                  <c:v>3</c:v>
                </c:pt>
                <c:pt idx="180">
                  <c:v>3</c:v>
                </c:pt>
                <c:pt idx="181">
                  <c:v>3</c:v>
                </c:pt>
                <c:pt idx="182">
                  <c:v>3</c:v>
                </c:pt>
                <c:pt idx="183">
                  <c:v>1</c:v>
                </c:pt>
                <c:pt idx="184">
                  <c:v>1</c:v>
                </c:pt>
                <c:pt idx="185">
                  <c:v>1</c:v>
                </c:pt>
                <c:pt idx="186">
                  <c:v>1</c:v>
                </c:pt>
                <c:pt idx="187">
                  <c:v>3</c:v>
                </c:pt>
                <c:pt idx="188">
                  <c:v>3</c:v>
                </c:pt>
                <c:pt idx="189">
                  <c:v>3</c:v>
                </c:pt>
                <c:pt idx="190">
                  <c:v>3</c:v>
                </c:pt>
                <c:pt idx="191">
                  <c:v>3</c:v>
                </c:pt>
                <c:pt idx="192">
                  <c:v>3</c:v>
                </c:pt>
                <c:pt idx="193">
                  <c:v>4</c:v>
                </c:pt>
                <c:pt idx="194">
                  <c:v>4</c:v>
                </c:pt>
                <c:pt idx="195">
                  <c:v>4</c:v>
                </c:pt>
                <c:pt idx="196">
                  <c:v>4</c:v>
                </c:pt>
                <c:pt idx="197">
                  <c:v>4</c:v>
                </c:pt>
                <c:pt idx="198">
                  <c:v>1</c:v>
                </c:pt>
                <c:pt idx="199">
                  <c:v>2</c:v>
                </c:pt>
                <c:pt idx="200">
                  <c:v>2</c:v>
                </c:pt>
                <c:pt idx="201">
                  <c:v>2</c:v>
                </c:pt>
                <c:pt idx="202">
                  <c:v>2</c:v>
                </c:pt>
                <c:pt idx="203">
                  <c:v>2</c:v>
                </c:pt>
                <c:pt idx="204">
                  <c:v>2</c:v>
                </c:pt>
                <c:pt idx="205">
                  <c:v>2</c:v>
                </c:pt>
                <c:pt idx="206">
                  <c:v>2</c:v>
                </c:pt>
                <c:pt idx="207">
                  <c:v>2</c:v>
                </c:pt>
                <c:pt idx="208">
                  <c:v>2</c:v>
                </c:pt>
                <c:pt idx="209">
                  <c:v>2</c:v>
                </c:pt>
                <c:pt idx="210">
                  <c:v>2</c:v>
                </c:pt>
                <c:pt idx="211">
                  <c:v>3</c:v>
                </c:pt>
                <c:pt idx="212">
                  <c:v>3</c:v>
                </c:pt>
                <c:pt idx="213">
                  <c:v>3</c:v>
                </c:pt>
                <c:pt idx="214">
                  <c:v>3</c:v>
                </c:pt>
                <c:pt idx="215">
                  <c:v>3</c:v>
                </c:pt>
                <c:pt idx="216">
                  <c:v>3</c:v>
                </c:pt>
                <c:pt idx="217">
                  <c:v>3</c:v>
                </c:pt>
                <c:pt idx="218">
                  <c:v>3</c:v>
                </c:pt>
                <c:pt idx="219">
                  <c:v>3</c:v>
                </c:pt>
                <c:pt idx="220">
                  <c:v>3</c:v>
                </c:pt>
                <c:pt idx="221">
                  <c:v>1</c:v>
                </c:pt>
                <c:pt idx="222">
                  <c:v>1</c:v>
                </c:pt>
                <c:pt idx="223">
                  <c:v>1</c:v>
                </c:pt>
                <c:pt idx="224">
                  <c:v>1</c:v>
                </c:pt>
                <c:pt idx="225">
                  <c:v>1</c:v>
                </c:pt>
                <c:pt idx="226">
                  <c:v>1</c:v>
                </c:pt>
                <c:pt idx="227">
                  <c:v>2</c:v>
                </c:pt>
                <c:pt idx="228">
                  <c:v>2</c:v>
                </c:pt>
                <c:pt idx="229">
                  <c:v>2</c:v>
                </c:pt>
                <c:pt idx="230">
                  <c:v>2</c:v>
                </c:pt>
                <c:pt idx="231">
                  <c:v>2</c:v>
                </c:pt>
                <c:pt idx="232">
                  <c:v>2</c:v>
                </c:pt>
                <c:pt idx="233">
                  <c:v>2</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numCache>
            </c:numRef>
          </c:xVal>
          <c:yVal>
            <c:numRef>
              <c:f>'linear regression'!$B$25:$B$274</c:f>
              <c:numCache>
                <c:formatCode>General</c:formatCode>
                <c:ptCount val="250"/>
                <c:pt idx="0">
                  <c:v>912.52436394854556</c:v>
                </c:pt>
                <c:pt idx="1">
                  <c:v>912.52436394854556</c:v>
                </c:pt>
                <c:pt idx="2">
                  <c:v>912.52436394854556</c:v>
                </c:pt>
                <c:pt idx="3">
                  <c:v>912.52436394854556</c:v>
                </c:pt>
                <c:pt idx="4">
                  <c:v>1620.1103725245221</c:v>
                </c:pt>
                <c:pt idx="5">
                  <c:v>558.73135966055736</c:v>
                </c:pt>
                <c:pt idx="6">
                  <c:v>1620.1103725245221</c:v>
                </c:pt>
                <c:pt idx="7">
                  <c:v>912.52436394854556</c:v>
                </c:pt>
                <c:pt idx="8">
                  <c:v>912.52436394854556</c:v>
                </c:pt>
                <c:pt idx="9">
                  <c:v>912.52436394854556</c:v>
                </c:pt>
                <c:pt idx="10">
                  <c:v>204.93835537256916</c:v>
                </c:pt>
                <c:pt idx="11">
                  <c:v>1620.1103725245221</c:v>
                </c:pt>
                <c:pt idx="12">
                  <c:v>912.52436394854556</c:v>
                </c:pt>
                <c:pt idx="13">
                  <c:v>912.52436394854556</c:v>
                </c:pt>
                <c:pt idx="14">
                  <c:v>912.52436394854556</c:v>
                </c:pt>
                <c:pt idx="15">
                  <c:v>204.93835537256916</c:v>
                </c:pt>
                <c:pt idx="16">
                  <c:v>1266.3173682365336</c:v>
                </c:pt>
                <c:pt idx="17">
                  <c:v>558.73135966055736</c:v>
                </c:pt>
                <c:pt idx="18">
                  <c:v>1266.3173682365336</c:v>
                </c:pt>
                <c:pt idx="19">
                  <c:v>912.52436394854556</c:v>
                </c:pt>
                <c:pt idx="20">
                  <c:v>1620.1103725245221</c:v>
                </c:pt>
                <c:pt idx="21">
                  <c:v>1266.3173682365336</c:v>
                </c:pt>
                <c:pt idx="22">
                  <c:v>1266.3173682365336</c:v>
                </c:pt>
                <c:pt idx="23">
                  <c:v>1266.3173682365336</c:v>
                </c:pt>
                <c:pt idx="24">
                  <c:v>1620.1103725245221</c:v>
                </c:pt>
                <c:pt idx="25">
                  <c:v>1620.1103725245221</c:v>
                </c:pt>
                <c:pt idx="26">
                  <c:v>912.52436394854556</c:v>
                </c:pt>
                <c:pt idx="27">
                  <c:v>1620.1103725245221</c:v>
                </c:pt>
                <c:pt idx="28">
                  <c:v>558.73135966055736</c:v>
                </c:pt>
                <c:pt idx="29">
                  <c:v>1266.3173682365336</c:v>
                </c:pt>
                <c:pt idx="30">
                  <c:v>1620.1103725245221</c:v>
                </c:pt>
                <c:pt idx="31">
                  <c:v>558.73135966055736</c:v>
                </c:pt>
                <c:pt idx="32">
                  <c:v>912.52436394854556</c:v>
                </c:pt>
                <c:pt idx="33">
                  <c:v>204.93835537256916</c:v>
                </c:pt>
                <c:pt idx="34">
                  <c:v>912.52436394854556</c:v>
                </c:pt>
                <c:pt idx="35">
                  <c:v>912.52436394854556</c:v>
                </c:pt>
                <c:pt idx="36">
                  <c:v>912.52436394854556</c:v>
                </c:pt>
                <c:pt idx="37">
                  <c:v>1620.1103725245221</c:v>
                </c:pt>
                <c:pt idx="38">
                  <c:v>912.52436394854556</c:v>
                </c:pt>
                <c:pt idx="39">
                  <c:v>204.93835537256916</c:v>
                </c:pt>
                <c:pt idx="40">
                  <c:v>558.73135966055736</c:v>
                </c:pt>
                <c:pt idx="41">
                  <c:v>204.93835537256916</c:v>
                </c:pt>
                <c:pt idx="42">
                  <c:v>1620.1103725245221</c:v>
                </c:pt>
                <c:pt idx="43">
                  <c:v>1620.1103725245221</c:v>
                </c:pt>
                <c:pt idx="44">
                  <c:v>204.93835537256916</c:v>
                </c:pt>
                <c:pt idx="45">
                  <c:v>558.73135966055736</c:v>
                </c:pt>
                <c:pt idx="46">
                  <c:v>1266.3173682365336</c:v>
                </c:pt>
                <c:pt idx="47">
                  <c:v>1620.1103725245221</c:v>
                </c:pt>
                <c:pt idx="48">
                  <c:v>558.73135966055736</c:v>
                </c:pt>
                <c:pt idx="49">
                  <c:v>1620.1103725245221</c:v>
                </c:pt>
                <c:pt idx="50">
                  <c:v>1620.1103725245221</c:v>
                </c:pt>
                <c:pt idx="51">
                  <c:v>204.93835537256916</c:v>
                </c:pt>
                <c:pt idx="52">
                  <c:v>558.73135966055736</c:v>
                </c:pt>
                <c:pt idx="53">
                  <c:v>1266.3173682365336</c:v>
                </c:pt>
                <c:pt idx="54">
                  <c:v>204.93835537256916</c:v>
                </c:pt>
                <c:pt idx="55">
                  <c:v>558.73135966055736</c:v>
                </c:pt>
                <c:pt idx="56">
                  <c:v>912.52436394854556</c:v>
                </c:pt>
                <c:pt idx="57">
                  <c:v>1266.3173682365336</c:v>
                </c:pt>
                <c:pt idx="58">
                  <c:v>204.93835537256916</c:v>
                </c:pt>
                <c:pt idx="59">
                  <c:v>558.73135966055736</c:v>
                </c:pt>
                <c:pt idx="60">
                  <c:v>204.93835537256916</c:v>
                </c:pt>
                <c:pt idx="61">
                  <c:v>204.93835537256916</c:v>
                </c:pt>
                <c:pt idx="62">
                  <c:v>1620.1103725245221</c:v>
                </c:pt>
                <c:pt idx="63">
                  <c:v>204.93835537256916</c:v>
                </c:pt>
                <c:pt idx="64">
                  <c:v>558.73135966055736</c:v>
                </c:pt>
                <c:pt idx="65">
                  <c:v>1620.1103725245221</c:v>
                </c:pt>
                <c:pt idx="66">
                  <c:v>1266.3173682365336</c:v>
                </c:pt>
                <c:pt idx="67">
                  <c:v>204.93835537256916</c:v>
                </c:pt>
                <c:pt idx="68">
                  <c:v>204.93835537256916</c:v>
                </c:pt>
                <c:pt idx="69">
                  <c:v>558.73135966055736</c:v>
                </c:pt>
                <c:pt idx="70">
                  <c:v>912.52436394854556</c:v>
                </c:pt>
                <c:pt idx="71">
                  <c:v>912.52436394854556</c:v>
                </c:pt>
                <c:pt idx="72">
                  <c:v>912.52436394854556</c:v>
                </c:pt>
                <c:pt idx="73">
                  <c:v>204.93835537256916</c:v>
                </c:pt>
                <c:pt idx="74">
                  <c:v>1620.1103725245221</c:v>
                </c:pt>
                <c:pt idx="75">
                  <c:v>558.73135966055736</c:v>
                </c:pt>
                <c:pt idx="76">
                  <c:v>1266.3173682365336</c:v>
                </c:pt>
                <c:pt idx="77">
                  <c:v>558.73135966055736</c:v>
                </c:pt>
                <c:pt idx="78">
                  <c:v>204.93835537256916</c:v>
                </c:pt>
                <c:pt idx="79">
                  <c:v>558.73135966055736</c:v>
                </c:pt>
                <c:pt idx="80">
                  <c:v>912.52436394854556</c:v>
                </c:pt>
                <c:pt idx="81">
                  <c:v>558.73135966055736</c:v>
                </c:pt>
                <c:pt idx="82">
                  <c:v>1266.3173682365336</c:v>
                </c:pt>
                <c:pt idx="83">
                  <c:v>558.73135966055736</c:v>
                </c:pt>
                <c:pt idx="84">
                  <c:v>558.73135966055736</c:v>
                </c:pt>
                <c:pt idx="85">
                  <c:v>204.93835537256916</c:v>
                </c:pt>
                <c:pt idx="86">
                  <c:v>1620.1103725245221</c:v>
                </c:pt>
                <c:pt idx="87">
                  <c:v>1266.3173682365336</c:v>
                </c:pt>
                <c:pt idx="88">
                  <c:v>1620.1103725245221</c:v>
                </c:pt>
                <c:pt idx="89">
                  <c:v>912.52436394854556</c:v>
                </c:pt>
                <c:pt idx="90">
                  <c:v>1266.3173682365336</c:v>
                </c:pt>
                <c:pt idx="91">
                  <c:v>1620.1103725245221</c:v>
                </c:pt>
                <c:pt idx="92">
                  <c:v>558.73135966055736</c:v>
                </c:pt>
                <c:pt idx="93">
                  <c:v>1620.1103725245221</c:v>
                </c:pt>
                <c:pt idx="94">
                  <c:v>912.52436394854556</c:v>
                </c:pt>
                <c:pt idx="95">
                  <c:v>1620.1103725245221</c:v>
                </c:pt>
                <c:pt idx="96">
                  <c:v>912.52436394854556</c:v>
                </c:pt>
                <c:pt idx="97">
                  <c:v>558.73135966055736</c:v>
                </c:pt>
                <c:pt idx="98">
                  <c:v>204.93835537256916</c:v>
                </c:pt>
                <c:pt idx="99">
                  <c:v>912.52436394854556</c:v>
                </c:pt>
                <c:pt idx="100">
                  <c:v>558.73135966055736</c:v>
                </c:pt>
                <c:pt idx="101">
                  <c:v>204.93835537256916</c:v>
                </c:pt>
                <c:pt idx="102">
                  <c:v>204.93835537256916</c:v>
                </c:pt>
                <c:pt idx="103">
                  <c:v>558.73135966055736</c:v>
                </c:pt>
                <c:pt idx="104">
                  <c:v>912.52436394854556</c:v>
                </c:pt>
                <c:pt idx="105">
                  <c:v>912.52436394854556</c:v>
                </c:pt>
                <c:pt idx="106">
                  <c:v>1266.3173682365336</c:v>
                </c:pt>
                <c:pt idx="107">
                  <c:v>204.93835537256916</c:v>
                </c:pt>
                <c:pt idx="108">
                  <c:v>912.52436394854556</c:v>
                </c:pt>
                <c:pt idx="109">
                  <c:v>558.73135966055736</c:v>
                </c:pt>
                <c:pt idx="110">
                  <c:v>1266.3173682365336</c:v>
                </c:pt>
                <c:pt idx="111">
                  <c:v>558.73135966055736</c:v>
                </c:pt>
                <c:pt idx="112">
                  <c:v>1266.3173682365336</c:v>
                </c:pt>
                <c:pt idx="113">
                  <c:v>1620.1103725245221</c:v>
                </c:pt>
                <c:pt idx="114">
                  <c:v>204.93835537256916</c:v>
                </c:pt>
                <c:pt idx="115">
                  <c:v>1266.3173682365336</c:v>
                </c:pt>
                <c:pt idx="116">
                  <c:v>912.52436394854556</c:v>
                </c:pt>
                <c:pt idx="117">
                  <c:v>912.52436394854556</c:v>
                </c:pt>
                <c:pt idx="118">
                  <c:v>558.73135966055736</c:v>
                </c:pt>
                <c:pt idx="119">
                  <c:v>204.93835537256916</c:v>
                </c:pt>
                <c:pt idx="120">
                  <c:v>1266.3173682365336</c:v>
                </c:pt>
                <c:pt idx="121">
                  <c:v>558.73135966055736</c:v>
                </c:pt>
                <c:pt idx="122">
                  <c:v>1266.3173682365336</c:v>
                </c:pt>
                <c:pt idx="123">
                  <c:v>558.73135966055736</c:v>
                </c:pt>
                <c:pt idx="124">
                  <c:v>912.52436394854556</c:v>
                </c:pt>
                <c:pt idx="125">
                  <c:v>912.52436394854556</c:v>
                </c:pt>
                <c:pt idx="126">
                  <c:v>912.52436394854556</c:v>
                </c:pt>
                <c:pt idx="127">
                  <c:v>1620.1103725245221</c:v>
                </c:pt>
                <c:pt idx="128">
                  <c:v>1266.3173682365336</c:v>
                </c:pt>
                <c:pt idx="129">
                  <c:v>204.93835537256916</c:v>
                </c:pt>
                <c:pt idx="130">
                  <c:v>558.73135966055736</c:v>
                </c:pt>
                <c:pt idx="131">
                  <c:v>912.52436394854556</c:v>
                </c:pt>
                <c:pt idx="132">
                  <c:v>558.73135966055736</c:v>
                </c:pt>
                <c:pt idx="133">
                  <c:v>558.73135966055736</c:v>
                </c:pt>
                <c:pt idx="134">
                  <c:v>1620.1103725245221</c:v>
                </c:pt>
                <c:pt idx="135">
                  <c:v>912.52436394854556</c:v>
                </c:pt>
                <c:pt idx="136">
                  <c:v>1620.1103725245221</c:v>
                </c:pt>
                <c:pt idx="137">
                  <c:v>912.52436394854556</c:v>
                </c:pt>
                <c:pt idx="138">
                  <c:v>912.52436394854556</c:v>
                </c:pt>
                <c:pt idx="139">
                  <c:v>558.73135966055736</c:v>
                </c:pt>
                <c:pt idx="140">
                  <c:v>204.93835537256916</c:v>
                </c:pt>
                <c:pt idx="141">
                  <c:v>912.52436394854556</c:v>
                </c:pt>
                <c:pt idx="142">
                  <c:v>1620.1103725245221</c:v>
                </c:pt>
                <c:pt idx="143">
                  <c:v>1266.3173682365336</c:v>
                </c:pt>
                <c:pt idx="144">
                  <c:v>1620.1103725245221</c:v>
                </c:pt>
                <c:pt idx="145">
                  <c:v>912.52436394854556</c:v>
                </c:pt>
                <c:pt idx="146">
                  <c:v>1620.1103725245221</c:v>
                </c:pt>
                <c:pt idx="147">
                  <c:v>558.73135966055736</c:v>
                </c:pt>
                <c:pt idx="148">
                  <c:v>1266.3173682365336</c:v>
                </c:pt>
                <c:pt idx="149">
                  <c:v>204.93835537256916</c:v>
                </c:pt>
                <c:pt idx="150">
                  <c:v>912.52436394854556</c:v>
                </c:pt>
                <c:pt idx="151">
                  <c:v>1620.1103725245221</c:v>
                </c:pt>
                <c:pt idx="152">
                  <c:v>558.73135966055736</c:v>
                </c:pt>
                <c:pt idx="153">
                  <c:v>912.52436394854556</c:v>
                </c:pt>
                <c:pt idx="154">
                  <c:v>1620.1103725245221</c:v>
                </c:pt>
                <c:pt idx="155">
                  <c:v>558.73135966055736</c:v>
                </c:pt>
                <c:pt idx="156">
                  <c:v>1620.1103725245221</c:v>
                </c:pt>
                <c:pt idx="157">
                  <c:v>1266.3173682365336</c:v>
                </c:pt>
                <c:pt idx="158">
                  <c:v>1266.3173682365336</c:v>
                </c:pt>
                <c:pt idx="159">
                  <c:v>558.73135966055736</c:v>
                </c:pt>
                <c:pt idx="160">
                  <c:v>912.52436394854556</c:v>
                </c:pt>
                <c:pt idx="161">
                  <c:v>1266.3173682365336</c:v>
                </c:pt>
                <c:pt idx="162">
                  <c:v>912.52436394854556</c:v>
                </c:pt>
                <c:pt idx="163">
                  <c:v>558.73135966055736</c:v>
                </c:pt>
                <c:pt idx="164">
                  <c:v>204.93835537256916</c:v>
                </c:pt>
                <c:pt idx="165">
                  <c:v>558.73135966055736</c:v>
                </c:pt>
                <c:pt idx="166">
                  <c:v>558.73135966055736</c:v>
                </c:pt>
                <c:pt idx="167">
                  <c:v>204.93835537256916</c:v>
                </c:pt>
                <c:pt idx="168">
                  <c:v>1620.1103725245221</c:v>
                </c:pt>
                <c:pt idx="169">
                  <c:v>558.73135966055736</c:v>
                </c:pt>
                <c:pt idx="170">
                  <c:v>558.73135966055736</c:v>
                </c:pt>
                <c:pt idx="171">
                  <c:v>912.52436394854556</c:v>
                </c:pt>
                <c:pt idx="172">
                  <c:v>558.73135966055736</c:v>
                </c:pt>
                <c:pt idx="173">
                  <c:v>558.73135966055736</c:v>
                </c:pt>
                <c:pt idx="174">
                  <c:v>1266.3173682365336</c:v>
                </c:pt>
                <c:pt idx="175">
                  <c:v>204.93835537256916</c:v>
                </c:pt>
                <c:pt idx="176">
                  <c:v>1620.1103725245221</c:v>
                </c:pt>
                <c:pt idx="177">
                  <c:v>204.93835537256916</c:v>
                </c:pt>
                <c:pt idx="178">
                  <c:v>558.73135966055736</c:v>
                </c:pt>
                <c:pt idx="179">
                  <c:v>204.93835537256916</c:v>
                </c:pt>
                <c:pt idx="180">
                  <c:v>1620.1103725245221</c:v>
                </c:pt>
                <c:pt idx="181">
                  <c:v>912.52436394854556</c:v>
                </c:pt>
                <c:pt idx="182">
                  <c:v>912.52436394854556</c:v>
                </c:pt>
                <c:pt idx="183">
                  <c:v>1620.1103725245221</c:v>
                </c:pt>
                <c:pt idx="184">
                  <c:v>1620.1103725245221</c:v>
                </c:pt>
                <c:pt idx="185">
                  <c:v>1266.3173682365336</c:v>
                </c:pt>
                <c:pt idx="186">
                  <c:v>912.52436394854556</c:v>
                </c:pt>
                <c:pt idx="187">
                  <c:v>204.93835537256916</c:v>
                </c:pt>
                <c:pt idx="188">
                  <c:v>204.93835537256916</c:v>
                </c:pt>
                <c:pt idx="189">
                  <c:v>1266.3173682365336</c:v>
                </c:pt>
                <c:pt idx="190">
                  <c:v>558.73135966055736</c:v>
                </c:pt>
                <c:pt idx="191">
                  <c:v>912.52436394854556</c:v>
                </c:pt>
                <c:pt idx="192">
                  <c:v>1266.3173682365336</c:v>
                </c:pt>
                <c:pt idx="193">
                  <c:v>1620.1103725245221</c:v>
                </c:pt>
                <c:pt idx="194">
                  <c:v>912.52436394854556</c:v>
                </c:pt>
                <c:pt idx="195">
                  <c:v>1620.1103725245221</c:v>
                </c:pt>
                <c:pt idx="196">
                  <c:v>1266.3173682365336</c:v>
                </c:pt>
                <c:pt idx="197">
                  <c:v>1266.3173682365336</c:v>
                </c:pt>
                <c:pt idx="198">
                  <c:v>1266.3173682365336</c:v>
                </c:pt>
                <c:pt idx="199">
                  <c:v>912.52436394854556</c:v>
                </c:pt>
                <c:pt idx="200">
                  <c:v>558.73135966055736</c:v>
                </c:pt>
                <c:pt idx="201">
                  <c:v>1266.3173682365336</c:v>
                </c:pt>
                <c:pt idx="202">
                  <c:v>558.73135966055736</c:v>
                </c:pt>
                <c:pt idx="203">
                  <c:v>912.52436394854556</c:v>
                </c:pt>
                <c:pt idx="204">
                  <c:v>204.93835537256916</c:v>
                </c:pt>
                <c:pt idx="205">
                  <c:v>912.52436394854556</c:v>
                </c:pt>
                <c:pt idx="206">
                  <c:v>1620.1103725245221</c:v>
                </c:pt>
                <c:pt idx="207">
                  <c:v>1620.1103725245221</c:v>
                </c:pt>
                <c:pt idx="208">
                  <c:v>912.52436394854556</c:v>
                </c:pt>
                <c:pt idx="209">
                  <c:v>912.52436394854556</c:v>
                </c:pt>
                <c:pt idx="210">
                  <c:v>558.73135966055736</c:v>
                </c:pt>
                <c:pt idx="211">
                  <c:v>558.73135966055736</c:v>
                </c:pt>
                <c:pt idx="212">
                  <c:v>1620.1103725245221</c:v>
                </c:pt>
                <c:pt idx="213">
                  <c:v>912.52436394854556</c:v>
                </c:pt>
                <c:pt idx="214">
                  <c:v>912.52436394854556</c:v>
                </c:pt>
                <c:pt idx="215">
                  <c:v>912.52436394854556</c:v>
                </c:pt>
                <c:pt idx="216">
                  <c:v>1620.1103725245221</c:v>
                </c:pt>
                <c:pt idx="217">
                  <c:v>204.93835537256916</c:v>
                </c:pt>
                <c:pt idx="218">
                  <c:v>204.93835537256916</c:v>
                </c:pt>
                <c:pt idx="219">
                  <c:v>1266.3173682365336</c:v>
                </c:pt>
                <c:pt idx="220">
                  <c:v>1620.1103725245221</c:v>
                </c:pt>
                <c:pt idx="221">
                  <c:v>558.73135966055736</c:v>
                </c:pt>
                <c:pt idx="222">
                  <c:v>1266.3173682365336</c:v>
                </c:pt>
                <c:pt idx="223">
                  <c:v>558.73135966055736</c:v>
                </c:pt>
                <c:pt idx="224">
                  <c:v>558.73135966055736</c:v>
                </c:pt>
                <c:pt idx="225">
                  <c:v>1620.1103725245221</c:v>
                </c:pt>
                <c:pt idx="226">
                  <c:v>1620.1103725245221</c:v>
                </c:pt>
                <c:pt idx="227">
                  <c:v>558.73135966055736</c:v>
                </c:pt>
                <c:pt idx="228">
                  <c:v>1620.1103725245221</c:v>
                </c:pt>
                <c:pt idx="229">
                  <c:v>558.73135966055736</c:v>
                </c:pt>
                <c:pt idx="230">
                  <c:v>1620.1103725245221</c:v>
                </c:pt>
                <c:pt idx="231">
                  <c:v>1266.3173682365336</c:v>
                </c:pt>
                <c:pt idx="232">
                  <c:v>204.93835537256916</c:v>
                </c:pt>
                <c:pt idx="233">
                  <c:v>558.73135966055736</c:v>
                </c:pt>
                <c:pt idx="234">
                  <c:v>558.73135966055736</c:v>
                </c:pt>
                <c:pt idx="235">
                  <c:v>912.52436394854556</c:v>
                </c:pt>
                <c:pt idx="236">
                  <c:v>912.52436394854556</c:v>
                </c:pt>
                <c:pt idx="237">
                  <c:v>912.52436394854556</c:v>
                </c:pt>
                <c:pt idx="238">
                  <c:v>1266.3173682365336</c:v>
                </c:pt>
                <c:pt idx="239">
                  <c:v>1266.3173682365336</c:v>
                </c:pt>
                <c:pt idx="240">
                  <c:v>1620.1103725245221</c:v>
                </c:pt>
                <c:pt idx="241">
                  <c:v>912.52436394854556</c:v>
                </c:pt>
                <c:pt idx="242">
                  <c:v>558.73135966055736</c:v>
                </c:pt>
                <c:pt idx="243">
                  <c:v>558.73135966055736</c:v>
                </c:pt>
                <c:pt idx="244">
                  <c:v>912.52436394854556</c:v>
                </c:pt>
                <c:pt idx="245">
                  <c:v>912.52436394854556</c:v>
                </c:pt>
                <c:pt idx="246">
                  <c:v>204.93835537256916</c:v>
                </c:pt>
                <c:pt idx="247">
                  <c:v>912.52436394854556</c:v>
                </c:pt>
                <c:pt idx="248">
                  <c:v>558.73135966055736</c:v>
                </c:pt>
                <c:pt idx="249">
                  <c:v>912.52436394854556</c:v>
                </c:pt>
              </c:numCache>
            </c:numRef>
          </c:yVal>
          <c:smooth val="0"/>
          <c:extLst>
            <c:ext xmlns:c16="http://schemas.microsoft.com/office/drawing/2014/chart" uri="{C3380CC4-5D6E-409C-BE32-E72D297353CC}">
              <c16:uniqueId val="{00000001-5215-4E15-95EE-C3C718DCD3AF}"/>
            </c:ext>
          </c:extLst>
        </c:ser>
        <c:dLbls>
          <c:showLegendKey val="0"/>
          <c:showVal val="0"/>
          <c:showCatName val="0"/>
          <c:showSerName val="0"/>
          <c:showPercent val="0"/>
          <c:showBubbleSize val="0"/>
        </c:dLbls>
        <c:axId val="41036800"/>
        <c:axId val="41038976"/>
      </c:scatterChart>
      <c:valAx>
        <c:axId val="41036800"/>
        <c:scaling>
          <c:orientation val="minMax"/>
        </c:scaling>
        <c:delete val="0"/>
        <c:axPos val="b"/>
        <c:title>
          <c:tx>
            <c:rich>
              <a:bodyPr/>
              <a:lstStyle/>
              <a:p>
                <a:pPr>
                  <a:defRPr/>
                </a:pPr>
                <a:r>
                  <a:rPr lang="en-US"/>
                  <a:t>X Variable 1</a:t>
                </a:r>
              </a:p>
            </c:rich>
          </c:tx>
          <c:overlay val="0"/>
        </c:title>
        <c:numFmt formatCode="General" sourceLinked="1"/>
        <c:majorTickMark val="out"/>
        <c:minorTickMark val="none"/>
        <c:tickLblPos val="nextTo"/>
        <c:crossAx val="41038976"/>
        <c:crosses val="autoZero"/>
        <c:crossBetween val="midCat"/>
      </c:valAx>
      <c:valAx>
        <c:axId val="41038976"/>
        <c:scaling>
          <c:orientation val="minMax"/>
        </c:scaling>
        <c:delete val="0"/>
        <c:axPos val="l"/>
        <c:title>
          <c:tx>
            <c:rich>
              <a:bodyPr/>
              <a:lstStyle/>
              <a:p>
                <a:pPr>
                  <a:defRPr/>
                </a:pPr>
                <a:r>
                  <a:rPr lang="en-US"/>
                  <a:t>Y</a:t>
                </a:r>
              </a:p>
            </c:rich>
          </c:tx>
          <c:overlay val="0"/>
        </c:title>
        <c:numFmt formatCode="General" sourceLinked="1"/>
        <c:majorTickMark val="out"/>
        <c:minorTickMark val="none"/>
        <c:tickLblPos val="nextTo"/>
        <c:crossAx val="41036800"/>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5"/>
    </mc:Choice>
    <mc:Fallback>
      <c:style val="35"/>
    </mc:Fallback>
  </mc:AlternateContent>
  <c:pivotSource>
    <c:name>[project3 final.xlsx]dashboard!PivotTable3</c:name>
    <c:fmtId val="0"/>
  </c:pivotSource>
  <c:chart>
    <c:title>
      <c:overlay val="0"/>
    </c:title>
    <c:autoTitleDeleted val="0"/>
    <c:pivotFmts>
      <c:pivotFmt>
        <c:idx val="0"/>
        <c:dLbl>
          <c:idx val="0"/>
          <c:delete val="1"/>
          <c:extLst>
            <c:ext xmlns:c15="http://schemas.microsoft.com/office/drawing/2012/chart" uri="{CE6537A1-D6FC-4f65-9D91-7224C49458BB}"/>
          </c:extLst>
        </c:dLbl>
      </c:pivotFmt>
    </c:pivotFmts>
    <c:plotArea>
      <c:layout/>
      <c:lineChart>
        <c:grouping val="standard"/>
        <c:varyColors val="0"/>
        <c:ser>
          <c:idx val="0"/>
          <c:order val="0"/>
          <c:tx>
            <c:strRef>
              <c:f>dashboard!$E$3</c:f>
              <c:strCache>
                <c:ptCount val="1"/>
                <c:pt idx="0">
                  <c:v>Total</c:v>
                </c:pt>
              </c:strCache>
            </c:strRef>
          </c:tx>
          <c:cat>
            <c:strRef>
              <c:f>dashboard!$D$4:$D$10</c:f>
              <c:strCache>
                <c:ptCount val="6"/>
                <c:pt idx="0">
                  <c:v>1</c:v>
                </c:pt>
                <c:pt idx="1">
                  <c:v>2</c:v>
                </c:pt>
                <c:pt idx="2">
                  <c:v>3</c:v>
                </c:pt>
                <c:pt idx="3">
                  <c:v>4</c:v>
                </c:pt>
                <c:pt idx="4">
                  <c:v>5</c:v>
                </c:pt>
                <c:pt idx="5">
                  <c:v>(blank)</c:v>
                </c:pt>
              </c:strCache>
            </c:strRef>
          </c:cat>
          <c:val>
            <c:numRef>
              <c:f>dashboard!$E$4:$E$10</c:f>
              <c:numCache>
                <c:formatCode>General</c:formatCode>
                <c:ptCount val="6"/>
                <c:pt idx="0">
                  <c:v>38</c:v>
                </c:pt>
                <c:pt idx="1">
                  <c:v>58</c:v>
                </c:pt>
                <c:pt idx="2">
                  <c:v>66</c:v>
                </c:pt>
                <c:pt idx="3">
                  <c:v>39</c:v>
                </c:pt>
                <c:pt idx="4">
                  <c:v>48</c:v>
                </c:pt>
              </c:numCache>
            </c:numRef>
          </c:val>
          <c:smooth val="0"/>
          <c:extLst>
            <c:ext xmlns:c16="http://schemas.microsoft.com/office/drawing/2014/chart" uri="{C3380CC4-5D6E-409C-BE32-E72D297353CC}">
              <c16:uniqueId val="{00000000-462E-4B74-817D-0040D9DCF98C}"/>
            </c:ext>
          </c:extLst>
        </c:ser>
        <c:dLbls>
          <c:showLegendKey val="0"/>
          <c:showVal val="0"/>
          <c:showCatName val="0"/>
          <c:showSerName val="0"/>
          <c:showPercent val="0"/>
          <c:showBubbleSize val="0"/>
        </c:dLbls>
        <c:marker val="1"/>
        <c:smooth val="0"/>
        <c:axId val="55670656"/>
        <c:axId val="55672192"/>
      </c:lineChart>
      <c:catAx>
        <c:axId val="55670656"/>
        <c:scaling>
          <c:orientation val="minMax"/>
        </c:scaling>
        <c:delete val="0"/>
        <c:axPos val="b"/>
        <c:numFmt formatCode="General" sourceLinked="0"/>
        <c:majorTickMark val="out"/>
        <c:minorTickMark val="none"/>
        <c:tickLblPos val="nextTo"/>
        <c:crossAx val="55672192"/>
        <c:crosses val="autoZero"/>
        <c:auto val="1"/>
        <c:lblAlgn val="ctr"/>
        <c:lblOffset val="100"/>
        <c:noMultiLvlLbl val="0"/>
      </c:catAx>
      <c:valAx>
        <c:axId val="55672192"/>
        <c:scaling>
          <c:orientation val="minMax"/>
        </c:scaling>
        <c:delete val="0"/>
        <c:axPos val="l"/>
        <c:majorGridlines/>
        <c:numFmt formatCode="General" sourceLinked="1"/>
        <c:majorTickMark val="out"/>
        <c:minorTickMark val="none"/>
        <c:tickLblPos val="nextTo"/>
        <c:crossAx val="5567065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 final.xlsx]dashboard!PivotTable2</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invertIfNegative val="0"/>
          <c:cat>
            <c:strRef>
              <c:f>dashboard!$A$4:$A$7</c:f>
              <c:strCache>
                <c:ptCount val="3"/>
                <c:pt idx="0">
                  <c:v>Appliances</c:v>
                </c:pt>
                <c:pt idx="1">
                  <c:v>Electronics</c:v>
                </c:pt>
                <c:pt idx="2">
                  <c:v>Furniture</c:v>
                </c:pt>
              </c:strCache>
            </c:strRef>
          </c:cat>
          <c:val>
            <c:numRef>
              <c:f>dashboard!$B$4:$B$7</c:f>
              <c:numCache>
                <c:formatCode>General</c:formatCode>
                <c:ptCount val="3"/>
                <c:pt idx="0">
                  <c:v>8338.7399999999961</c:v>
                </c:pt>
                <c:pt idx="1">
                  <c:v>167256.1</c:v>
                </c:pt>
                <c:pt idx="2">
                  <c:v>49097.680000000051</c:v>
                </c:pt>
              </c:numCache>
            </c:numRef>
          </c:val>
          <c:extLst>
            <c:ext xmlns:c16="http://schemas.microsoft.com/office/drawing/2014/chart" uri="{C3380CC4-5D6E-409C-BE32-E72D297353CC}">
              <c16:uniqueId val="{00000000-4119-4312-BC8B-2690DC0DAB9D}"/>
            </c:ext>
          </c:extLst>
        </c:ser>
        <c:dLbls>
          <c:showLegendKey val="0"/>
          <c:showVal val="0"/>
          <c:showCatName val="0"/>
          <c:showSerName val="0"/>
          <c:showPercent val="0"/>
          <c:showBubbleSize val="0"/>
        </c:dLbls>
        <c:gapWidth val="150"/>
        <c:axId val="55684480"/>
        <c:axId val="55698560"/>
      </c:barChart>
      <c:catAx>
        <c:axId val="55684480"/>
        <c:scaling>
          <c:orientation val="minMax"/>
        </c:scaling>
        <c:delete val="0"/>
        <c:axPos val="l"/>
        <c:numFmt formatCode="General" sourceLinked="0"/>
        <c:majorTickMark val="out"/>
        <c:minorTickMark val="none"/>
        <c:tickLblPos val="nextTo"/>
        <c:crossAx val="55698560"/>
        <c:crosses val="autoZero"/>
        <c:auto val="1"/>
        <c:lblAlgn val="ctr"/>
        <c:lblOffset val="100"/>
        <c:noMultiLvlLbl val="0"/>
      </c:catAx>
      <c:valAx>
        <c:axId val="55698560"/>
        <c:scaling>
          <c:orientation val="minMax"/>
        </c:scaling>
        <c:delete val="0"/>
        <c:axPos val="b"/>
        <c:majorGridlines/>
        <c:numFmt formatCode="General" sourceLinked="1"/>
        <c:majorTickMark val="out"/>
        <c:minorTickMark val="none"/>
        <c:tickLblPos val="nextTo"/>
        <c:crossAx val="5568448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[project3 final.xlsx]dashboard!PivotTable4</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dashboard!$G$17</c:f>
              <c:strCache>
                <c:ptCount val="1"/>
                <c:pt idx="0">
                  <c:v>Total</c:v>
                </c:pt>
              </c:strCache>
            </c:strRef>
          </c:tx>
          <c:invertIfNegative val="0"/>
          <c:cat>
            <c:strRef>
              <c:f>dashboard!$F$18:$F$24</c:f>
              <c:strCache>
                <c:ptCount val="6"/>
                <c:pt idx="0">
                  <c:v>Central</c:v>
                </c:pt>
                <c:pt idx="1">
                  <c:v>East</c:v>
                </c:pt>
                <c:pt idx="2">
                  <c:v>North</c:v>
                </c:pt>
                <c:pt idx="3">
                  <c:v>South</c:v>
                </c:pt>
                <c:pt idx="4">
                  <c:v>West</c:v>
                </c:pt>
                <c:pt idx="5">
                  <c:v>(blank)</c:v>
                </c:pt>
              </c:strCache>
            </c:strRef>
          </c:cat>
          <c:val>
            <c:numRef>
              <c:f>dashboard!$G$18:$G$24</c:f>
              <c:numCache>
                <c:formatCode>General</c:formatCode>
                <c:ptCount val="6"/>
                <c:pt idx="0">
                  <c:v>3599.96</c:v>
                </c:pt>
                <c:pt idx="1">
                  <c:v>4499.95</c:v>
                </c:pt>
                <c:pt idx="2">
                  <c:v>3499.95</c:v>
                </c:pt>
                <c:pt idx="3">
                  <c:v>4499.95</c:v>
                </c:pt>
                <c:pt idx="4">
                  <c:v>3599.96</c:v>
                </c:pt>
              </c:numCache>
            </c:numRef>
          </c:val>
          <c:extLst>
            <c:ext xmlns:c16="http://schemas.microsoft.com/office/drawing/2014/chart" uri="{C3380CC4-5D6E-409C-BE32-E72D297353CC}">
              <c16:uniqueId val="{00000000-C415-4573-B9D5-8E867C09ACC3}"/>
            </c:ext>
          </c:extLst>
        </c:ser>
        <c:dLbls>
          <c:showLegendKey val="0"/>
          <c:showVal val="0"/>
          <c:showCatName val="0"/>
          <c:showSerName val="0"/>
          <c:showPercent val="0"/>
          <c:showBubbleSize val="0"/>
        </c:dLbls>
        <c:gapWidth val="150"/>
        <c:axId val="55735424"/>
        <c:axId val="55736960"/>
      </c:barChart>
      <c:catAx>
        <c:axId val="55735424"/>
        <c:scaling>
          <c:orientation val="minMax"/>
        </c:scaling>
        <c:delete val="0"/>
        <c:axPos val="b"/>
        <c:numFmt formatCode="General" sourceLinked="0"/>
        <c:majorTickMark val="out"/>
        <c:minorTickMark val="none"/>
        <c:tickLblPos val="nextTo"/>
        <c:crossAx val="55736960"/>
        <c:crosses val="autoZero"/>
        <c:auto val="1"/>
        <c:lblAlgn val="ctr"/>
        <c:lblOffset val="100"/>
        <c:noMultiLvlLbl val="0"/>
      </c:catAx>
      <c:valAx>
        <c:axId val="55736960"/>
        <c:scaling>
          <c:orientation val="minMax"/>
        </c:scaling>
        <c:delete val="0"/>
        <c:axPos val="l"/>
        <c:majorGridlines/>
        <c:numFmt formatCode="General" sourceLinked="1"/>
        <c:majorTickMark val="out"/>
        <c:minorTickMark val="none"/>
        <c:tickLblPos val="nextTo"/>
        <c:crossAx val="5573542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 final.xlsx]dashboard!PivotTable5</c:name>
    <c:fmtId val="2"/>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dashboard!$B$28</c:f>
              <c:strCache>
                <c:ptCount val="1"/>
                <c:pt idx="0">
                  <c:v>Total</c:v>
                </c:pt>
              </c:strCache>
            </c:strRef>
          </c:tx>
          <c:cat>
            <c:strRef>
              <c:f>dashboard!$A$29:$A$35</c:f>
              <c:strCache>
                <c:ptCount val="6"/>
                <c:pt idx="0">
                  <c:v>Central</c:v>
                </c:pt>
                <c:pt idx="1">
                  <c:v>East</c:v>
                </c:pt>
                <c:pt idx="2">
                  <c:v>North</c:v>
                </c:pt>
                <c:pt idx="3">
                  <c:v>South</c:v>
                </c:pt>
                <c:pt idx="4">
                  <c:v>West</c:v>
                </c:pt>
                <c:pt idx="5">
                  <c:v>(blank)</c:v>
                </c:pt>
              </c:strCache>
            </c:strRef>
          </c:cat>
          <c:val>
            <c:numRef>
              <c:f>dashboard!$B$29:$B$35</c:f>
              <c:numCache>
                <c:formatCode>General</c:formatCode>
                <c:ptCount val="6"/>
                <c:pt idx="0">
                  <c:v>54</c:v>
                </c:pt>
                <c:pt idx="1">
                  <c:v>47</c:v>
                </c:pt>
                <c:pt idx="2">
                  <c:v>59</c:v>
                </c:pt>
                <c:pt idx="3">
                  <c:v>42</c:v>
                </c:pt>
                <c:pt idx="4">
                  <c:v>47</c:v>
                </c:pt>
              </c:numCache>
            </c:numRef>
          </c:val>
          <c:extLst>
            <c:ext xmlns:c16="http://schemas.microsoft.com/office/drawing/2014/chart" uri="{C3380CC4-5D6E-409C-BE32-E72D297353CC}">
              <c16:uniqueId val="{00000000-AA90-4087-A01A-59D78A9E0EBB}"/>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238125</xdr:colOff>
      <xdr:row>0</xdr:row>
      <xdr:rowOff>180975</xdr:rowOff>
    </xdr:from>
    <xdr:to>
      <xdr:col>15</xdr:col>
      <xdr:colOff>238125</xdr:colOff>
      <xdr:row>10</xdr:row>
      <xdr:rowOff>180975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238124</xdr:colOff>
      <xdr:row>2</xdr:row>
      <xdr:rowOff>4762</xdr:rowOff>
    </xdr:from>
    <xdr:to>
      <xdr:col>12</xdr:col>
      <xdr:colOff>114299</xdr:colOff>
      <xdr:row>14</xdr:row>
      <xdr:rowOff>19050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12</xdr:row>
      <xdr:rowOff>0</xdr:rowOff>
    </xdr:from>
    <xdr:to>
      <xdr:col>4</xdr:col>
      <xdr:colOff>238125</xdr:colOff>
      <xdr:row>23</xdr:row>
      <xdr:rowOff>176212</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180975</xdr:colOff>
      <xdr:row>16</xdr:row>
      <xdr:rowOff>9525</xdr:rowOff>
    </xdr:from>
    <xdr:to>
      <xdr:col>13</xdr:col>
      <xdr:colOff>266700</xdr:colOff>
      <xdr:row>27</xdr:row>
      <xdr:rowOff>52387</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209550</xdr:colOff>
      <xdr:row>27</xdr:row>
      <xdr:rowOff>19049</xdr:rowOff>
    </xdr:from>
    <xdr:to>
      <xdr:col>6</xdr:col>
      <xdr:colOff>381000</xdr:colOff>
      <xdr:row>38</xdr:row>
      <xdr:rowOff>128586</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571500</xdr:colOff>
      <xdr:row>12</xdr:row>
      <xdr:rowOff>38100</xdr:rowOff>
    </xdr:from>
    <xdr:to>
      <xdr:col>5</xdr:col>
      <xdr:colOff>28575</xdr:colOff>
      <xdr:row>24</xdr:row>
      <xdr:rowOff>9525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24250" y="2514600"/>
              <a:ext cx="1571625" cy="22574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251460</xdr:colOff>
      <xdr:row>0</xdr:row>
      <xdr:rowOff>167640</xdr:rowOff>
    </xdr:from>
    <xdr:to>
      <xdr:col>14</xdr:col>
      <xdr:colOff>502920</xdr:colOff>
      <xdr:row>31</xdr:row>
      <xdr:rowOff>30480</xdr:rowOff>
    </xdr:to>
    <xdr:sp macro="" textlink="">
      <xdr:nvSpPr>
        <xdr:cNvPr id="2" name="TextBox 1">
          <a:extLst>
            <a:ext uri="{FF2B5EF4-FFF2-40B4-BE49-F238E27FC236}">
              <a16:creationId xmlns:a16="http://schemas.microsoft.com/office/drawing/2014/main" id="{B88FFA1A-F09E-30E9-C9C2-DFB82746C799}"/>
            </a:ext>
          </a:extLst>
        </xdr:cNvPr>
        <xdr:cNvSpPr txBox="1"/>
      </xdr:nvSpPr>
      <xdr:spPr>
        <a:xfrm>
          <a:off x="251460" y="167640"/>
          <a:ext cx="8785860" cy="5532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Report:</a:t>
          </a:r>
        </a:p>
        <a:p>
          <a:endParaRPr lang="en-IN" sz="1400" b="1"/>
        </a:p>
        <a:p>
          <a:r>
            <a:rPr lang="en-IN" sz="1200" b="0"/>
            <a:t>Total Revenue: Rs. 224,692.52</a:t>
          </a:r>
        </a:p>
        <a:p>
          <a:endParaRPr lang="en-IN" sz="1200" b="0"/>
        </a:p>
        <a:p>
          <a:r>
            <a:rPr lang="en-IN" sz="1200" b="0"/>
            <a:t>Total</a:t>
          </a:r>
          <a:r>
            <a:rPr lang="en-IN" sz="1200" b="0" baseline="0"/>
            <a:t> Transcation : 249</a:t>
          </a:r>
        </a:p>
        <a:p>
          <a:endParaRPr lang="en-IN" sz="1200" b="0" baseline="0"/>
        </a:p>
        <a:p>
          <a:r>
            <a:rPr lang="en-IN" sz="1200" b="0" baseline="0"/>
            <a:t>Most sold category:1. Electronics = Rs.167,256.10</a:t>
          </a:r>
        </a:p>
        <a:p>
          <a:r>
            <a:rPr lang="en-IN" sz="1200" b="0" baseline="0"/>
            <a:t>                                    2. furniture = Rs. 49,097.68</a:t>
          </a:r>
        </a:p>
        <a:p>
          <a:r>
            <a:rPr lang="en-IN" sz="1200" b="0"/>
            <a:t>                                    3.appliances=</a:t>
          </a:r>
          <a:r>
            <a:rPr lang="en-IN" sz="1200" b="0" baseline="0"/>
            <a:t> Rs.8338.74</a:t>
          </a:r>
        </a:p>
        <a:p>
          <a:r>
            <a:rPr lang="en-IN" sz="1200" b="0" baseline="0"/>
            <a:t>Most sold product: bookself</a:t>
          </a:r>
        </a:p>
        <a:p>
          <a:endParaRPr lang="en-IN" sz="1200" b="0" baseline="0"/>
        </a:p>
        <a:p>
          <a:r>
            <a:rPr lang="en-IN" sz="1200" b="0" baseline="0"/>
            <a:t>top performing region:</a:t>
          </a:r>
        </a:p>
        <a:p>
          <a:r>
            <a:rPr lang="en-IN" sz="1200" b="0" baseline="0"/>
            <a:t>north = 59 transactions</a:t>
          </a:r>
        </a:p>
        <a:p>
          <a:r>
            <a:rPr lang="en-IN" sz="1200" b="0" baseline="0"/>
            <a:t>central= 54</a:t>
          </a:r>
        </a:p>
        <a:p>
          <a:r>
            <a:rPr lang="en-IN" sz="1200" b="0" baseline="0"/>
            <a:t>east= 47</a:t>
          </a:r>
        </a:p>
        <a:p>
          <a:r>
            <a:rPr lang="en-IN" sz="1200" b="0" baseline="0"/>
            <a:t>west=47</a:t>
          </a:r>
        </a:p>
        <a:p>
          <a:r>
            <a:rPr lang="en-IN" sz="1200" b="0" baseline="0"/>
            <a:t>south=42</a:t>
          </a:r>
        </a:p>
        <a:p>
          <a:endParaRPr lang="en-IN" sz="1200" b="0" baseline="0"/>
        </a:p>
        <a:p>
          <a:r>
            <a:rPr lang="en-IN" sz="1200" b="0" baseline="0"/>
            <a:t>most number of quantity order= 3</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AN" refreshedDate="46060.355390625002" createdVersion="4" refreshedVersion="4" minRefreshableVersion="3" recordCount="999" xr:uid="{00000000-000A-0000-FFFF-FFFF00000000}">
  <cacheSource type="worksheet">
    <worksheetSource ref="A1:N1048576" sheet="data"/>
  </cacheSource>
  <cacheFields count="14">
    <cacheField name="Transaction_ID" numFmtId="0">
      <sharedItems containsBlank="1"/>
    </cacheField>
    <cacheField name="Date" numFmtId="0">
      <sharedItems containsNonDate="0" containsDate="1" containsString="0" containsBlank="1" minDate="2024-04-11T00:00:00" maxDate="2025-04-12T00:00:00"/>
    </cacheField>
    <cacheField name="Customer_ID" numFmtId="0">
      <sharedItems containsBlank="1" count="51">
        <s v="CUST023"/>
        <s v="CUST029"/>
        <s v="CUST013"/>
        <s v="CUST047"/>
        <s v="CUST019"/>
        <s v="CUST025"/>
        <s v="CUST012"/>
        <s v="CUST030"/>
        <s v="CUST011"/>
        <s v="CUST018"/>
        <s v="CUST008"/>
        <s v="CUST028"/>
        <s v="CUST039"/>
        <s v="CUST041"/>
        <s v="CUST049"/>
        <s v="CUST024"/>
        <s v="CUST026"/>
        <s v="CUST009"/>
        <s v="CUST032"/>
        <s v="CUST027"/>
        <s v="CUST040"/>
        <s v="CUST038"/>
        <s v="CUST046"/>
        <s v="CUST004"/>
        <s v="CUST045"/>
        <s v="CUST022"/>
        <s v="CUST016"/>
        <s v="CUST048"/>
        <s v="CUST017"/>
        <s v="CUST010"/>
        <s v="CUST003"/>
        <s v="CUST044"/>
        <s v="CUST036"/>
        <s v="CUST020"/>
        <s v="CUST021"/>
        <s v="CUST037"/>
        <s v="CUST006"/>
        <s v="CUST042"/>
        <s v="CUST031"/>
        <s v="CUST033"/>
        <s v="CUST007"/>
        <s v="CUST001"/>
        <s v="CUST035"/>
        <s v="CUST002"/>
        <s v="CUST034"/>
        <s v="CUST014"/>
        <s v="CUST015"/>
        <s v="CUST043"/>
        <s v="CUST050"/>
        <s v="CUST005"/>
        <m/>
      </sharedItems>
    </cacheField>
    <cacheField name="Customer_Name" numFmtId="0">
      <sharedItems containsBlank="1" count="51">
        <s v="Paul Baker"/>
        <s v="Edward Mitchell"/>
        <s v="Joseph Jackson"/>
        <s v="Gerald Murphy"/>
        <s v="Daniel King"/>
        <s v="Mark Carter"/>
        <s v="Patricia Moore"/>
        <s v="Helen Roberts"/>
        <s v="William White"/>
        <s v="Barbara Young"/>
        <s v="Jennifer Taylor"/>
        <s v="Betty Campbell"/>
        <s v="Lawrence Reed"/>
        <s v="Peter Richardson"/>
        <s v="Raymond Ross"/>
        <s v="Dorothy Nelson"/>
        <s v="Karen Hill"/>
        <s v="Robert Thomas"/>
        <s v="Sandra Phillips"/>
        <s v="George Adams"/>
        <s v="Sharon Butler"/>
        <s v="Michelle Rogers"/>
        <s v="Kathleen Bennett"/>
        <s v="Sarah Davis"/>
        <s v="Douglas Watson"/>
        <s v="Susan Green"/>
        <s v="Elizabeth Hall"/>
        <s v="Virginia Sanders"/>
        <s v="Charles Allen"/>
        <s v="Maria Garcia"/>
        <s v="Michael Brown"/>
        <s v="Cynthia Price"/>
        <s v="Nancy Collins"/>
        <s v="Margaret Wright"/>
        <s v="Kevin Scott"/>
        <s v="Arthur Edwards"/>
        <s v="Lisa Anderson"/>
        <s v="Ruth Brooks"/>
        <s v="Steven Turner"/>
        <s v="Frank Torres"/>
        <s v="David Martinez"/>
        <s v="John Smith"/>
        <s v="Harry Morgan"/>
        <s v="Emma Wilson"/>
        <s v="Carol Evans"/>
        <s v="Linda Martin"/>
        <s v="Richard Lee"/>
        <s v="Dennis Gray"/>
        <s v="Julie Foster"/>
        <s v="James Johnson"/>
        <m/>
      </sharedItems>
    </cacheField>
    <cacheField name="Product_ID" numFmtId="0">
      <sharedItems containsBlank="1"/>
    </cacheField>
    <cacheField name="Product_Name" numFmtId="0">
      <sharedItems containsBlank="1"/>
    </cacheField>
    <cacheField name="Category" numFmtId="0">
      <sharedItems containsBlank="1" count="4">
        <s v="Electronics"/>
        <s v="Furniture"/>
        <s v="Appliances"/>
        <m/>
      </sharedItems>
    </cacheField>
    <cacheField name="Quantity" numFmtId="0">
      <sharedItems containsString="0" containsBlank="1" containsNumber="1" containsInteger="1" minValue="1" maxValue="5" count="6">
        <n v="5"/>
        <n v="4"/>
        <n v="3"/>
        <n v="2"/>
        <n v="1"/>
        <m/>
      </sharedItems>
    </cacheField>
    <cacheField name="Unit_Price" numFmtId="0">
      <sharedItems containsString="0" containsBlank="1" containsNumber="1" minValue="59.99" maxValue="899.99" count="10">
        <n v="899.99"/>
        <n v="699.99"/>
        <n v="299.99"/>
        <n v="249.99"/>
        <n v="199.99"/>
        <n v="149.99"/>
        <n v="89.99"/>
        <n v="79.989999999999995"/>
        <n v="59.99"/>
        <m/>
      </sharedItems>
    </cacheField>
    <cacheField name="Payment_Method" numFmtId="0">
      <sharedItems containsBlank="1" count="5">
        <s v="Credit Card"/>
        <s v="PayPal"/>
        <s v="Debit Card"/>
        <s v="Cash"/>
        <m/>
      </sharedItems>
    </cacheField>
    <cacheField name="Region" numFmtId="0">
      <sharedItems containsBlank="1" count="6">
        <s v="South"/>
        <s v="East"/>
        <s v="West"/>
        <s v="Central"/>
        <s v="North"/>
        <m/>
      </sharedItems>
    </cacheField>
    <cacheField name="Customer_Segment" numFmtId="0">
      <sharedItems containsBlank="1"/>
    </cacheField>
    <cacheField name="Customer_Since" numFmtId="0">
      <sharedItems containsNonDate="0" containsDate="1" containsString="0" containsBlank="1" minDate="2021-07-18T00:00:00" maxDate="2024-04-12T00:00:00"/>
    </cacheField>
    <cacheField name="Total_Amount" numFmtId="0">
      <sharedItems containsString="0" containsBlank="1" containsNumber="1" minValue="59.99" maxValue="4499.95" count="45">
        <n v="4499.95"/>
        <n v="3599.96"/>
        <n v="3499.95"/>
        <n v="2799.96"/>
        <n v="2699.9700000000003"/>
        <n v="2099.9700000000003"/>
        <n v="1799.98"/>
        <n v="1499.95"/>
        <n v="1399.98"/>
        <n v="1249.95"/>
        <n v="1199.96"/>
        <n v="999.96"/>
        <n v="999.95"/>
        <n v="899.99"/>
        <n v="899.97"/>
        <n v="799.96"/>
        <n v="749.97"/>
        <n v="749.95"/>
        <n v="699.99"/>
        <n v="599.98"/>
        <n v="599.97"/>
        <n v="599.96"/>
        <n v="499.98"/>
        <n v="449.97"/>
        <n v="449.95"/>
        <n v="399.98"/>
        <n v="399.95"/>
        <n v="359.96"/>
        <n v="319.95999999999998"/>
        <n v="299.99"/>
        <n v="299.98"/>
        <n v="299.95"/>
        <n v="269.96999999999997"/>
        <n v="249.99"/>
        <n v="239.96999999999997"/>
        <n v="239.96"/>
        <n v="199.99"/>
        <n v="179.98"/>
        <n v="179.97"/>
        <n v="149.99"/>
        <n v="119.98"/>
        <n v="89.99"/>
        <n v="79.989999999999995"/>
        <n v="59.99"/>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
  <r>
    <s v="TRX0154"/>
    <d v="2024-06-16T00:00:00"/>
    <x v="0"/>
    <x v="0"/>
    <s v="P001"/>
    <s v="Laptop"/>
    <x v="0"/>
    <x v="0"/>
    <x v="0"/>
    <x v="0"/>
    <x v="0"/>
    <s v="Standard"/>
    <d v="2023-02-17T00:00:00"/>
    <x v="0"/>
  </r>
  <r>
    <s v="TRX0044"/>
    <d v="2024-06-16T00:00:00"/>
    <x v="1"/>
    <x v="1"/>
    <s v="P001"/>
    <s v="Laptop"/>
    <x v="0"/>
    <x v="0"/>
    <x v="0"/>
    <x v="1"/>
    <x v="1"/>
    <s v="Premium"/>
    <d v="2023-12-18T00:00:00"/>
    <x v="0"/>
  </r>
  <r>
    <s v="TRX0244"/>
    <d v="2024-07-24T00:00:00"/>
    <x v="2"/>
    <x v="2"/>
    <s v="P001"/>
    <s v="Laptop"/>
    <x v="0"/>
    <x v="0"/>
    <x v="0"/>
    <x v="2"/>
    <x v="0"/>
    <s v="Standard"/>
    <d v="2022-12-04T00:00:00"/>
    <x v="0"/>
  </r>
  <r>
    <s v="TRX0132"/>
    <d v="2024-08-19T00:00:00"/>
    <x v="3"/>
    <x v="3"/>
    <s v="P001"/>
    <s v="Laptop"/>
    <x v="0"/>
    <x v="0"/>
    <x v="0"/>
    <x v="2"/>
    <x v="1"/>
    <s v="Basic"/>
    <d v="2021-11-26T00:00:00"/>
    <x v="0"/>
  </r>
  <r>
    <s v="TRX0163"/>
    <d v="2024-12-19T00:00:00"/>
    <x v="4"/>
    <x v="4"/>
    <s v="P001"/>
    <s v="Laptop"/>
    <x v="0"/>
    <x v="0"/>
    <x v="0"/>
    <x v="2"/>
    <x v="1"/>
    <s v="Standard"/>
    <d v="2022-03-05T00:00:00"/>
    <x v="0"/>
  </r>
  <r>
    <s v="TRX0122"/>
    <d v="2024-04-28T00:00:00"/>
    <x v="5"/>
    <x v="5"/>
    <s v="P001"/>
    <s v="Laptop"/>
    <x v="0"/>
    <x v="1"/>
    <x v="0"/>
    <x v="0"/>
    <x v="2"/>
    <s v="Standard"/>
    <d v="2024-02-05T00:00:00"/>
    <x v="1"/>
  </r>
  <r>
    <s v="TRX0104"/>
    <d v="2024-06-28T00:00:00"/>
    <x v="6"/>
    <x v="6"/>
    <s v="P001"/>
    <s v="Laptop"/>
    <x v="0"/>
    <x v="1"/>
    <x v="0"/>
    <x v="0"/>
    <x v="1"/>
    <s v="Premium"/>
    <d v="2023-03-08T00:00:00"/>
    <x v="1"/>
  </r>
  <r>
    <s v="TRX0249"/>
    <d v="2024-07-31T00:00:00"/>
    <x v="7"/>
    <x v="7"/>
    <s v="P001"/>
    <s v="Laptop"/>
    <x v="0"/>
    <x v="1"/>
    <x v="0"/>
    <x v="2"/>
    <x v="0"/>
    <s v="Standard"/>
    <d v="2021-11-23T00:00:00"/>
    <x v="1"/>
  </r>
  <r>
    <s v="TRX0030"/>
    <d v="2025-01-29T00:00:00"/>
    <x v="8"/>
    <x v="8"/>
    <s v="P001"/>
    <s v="Laptop"/>
    <x v="0"/>
    <x v="1"/>
    <x v="0"/>
    <x v="1"/>
    <x v="3"/>
    <s v="Basic"/>
    <d v="2022-06-22T00:00:00"/>
    <x v="1"/>
  </r>
  <r>
    <s v="TRX0231"/>
    <d v="2024-04-30T00:00:00"/>
    <x v="9"/>
    <x v="9"/>
    <s v="P002"/>
    <s v="Smartphone"/>
    <x v="0"/>
    <x v="0"/>
    <x v="1"/>
    <x v="3"/>
    <x v="2"/>
    <s v="Basic"/>
    <d v="2023-08-29T00:00:00"/>
    <x v="2"/>
  </r>
  <r>
    <s v="TRX0015"/>
    <d v="2024-05-28T00:00:00"/>
    <x v="10"/>
    <x v="10"/>
    <s v="P002"/>
    <s v="Smartphone"/>
    <x v="0"/>
    <x v="0"/>
    <x v="1"/>
    <x v="1"/>
    <x v="2"/>
    <s v="Standard"/>
    <d v="2021-07-30T00:00:00"/>
    <x v="2"/>
  </r>
  <r>
    <s v="TRX0173"/>
    <d v="2024-10-16T00:00:00"/>
    <x v="9"/>
    <x v="9"/>
    <s v="P002"/>
    <s v="Smartphone"/>
    <x v="0"/>
    <x v="0"/>
    <x v="1"/>
    <x v="3"/>
    <x v="1"/>
    <s v="Standard"/>
    <d v="2023-03-23T00:00:00"/>
    <x v="2"/>
  </r>
  <r>
    <s v="TRX0167"/>
    <d v="2024-10-24T00:00:00"/>
    <x v="11"/>
    <x v="11"/>
    <s v="P002"/>
    <s v="Smartphone"/>
    <x v="0"/>
    <x v="0"/>
    <x v="1"/>
    <x v="3"/>
    <x v="4"/>
    <s v="Premium"/>
    <d v="2022-03-15T00:00:00"/>
    <x v="2"/>
  </r>
  <r>
    <s v="TRX0201"/>
    <d v="2024-12-01T00:00:00"/>
    <x v="5"/>
    <x v="5"/>
    <s v="P002"/>
    <s v="Smartphone"/>
    <x v="0"/>
    <x v="0"/>
    <x v="1"/>
    <x v="2"/>
    <x v="2"/>
    <s v="Standard"/>
    <d v="2023-01-18T00:00:00"/>
    <x v="2"/>
  </r>
  <r>
    <s v="TRX0179"/>
    <d v="2025-02-19T00:00:00"/>
    <x v="1"/>
    <x v="1"/>
    <s v="P002"/>
    <s v="Smartphone"/>
    <x v="0"/>
    <x v="0"/>
    <x v="1"/>
    <x v="1"/>
    <x v="0"/>
    <s v="Premium"/>
    <d v="2024-03-01T00:00:00"/>
    <x v="2"/>
  </r>
  <r>
    <s v="TRX0226"/>
    <d v="2025-03-04T00:00:00"/>
    <x v="12"/>
    <x v="12"/>
    <s v="P002"/>
    <s v="Smartphone"/>
    <x v="0"/>
    <x v="0"/>
    <x v="1"/>
    <x v="2"/>
    <x v="1"/>
    <s v="Premium"/>
    <d v="2023-08-23T00:00:00"/>
    <x v="2"/>
  </r>
  <r>
    <s v="TRX0239"/>
    <d v="2024-05-01T00:00:00"/>
    <x v="6"/>
    <x v="6"/>
    <s v="P002"/>
    <s v="Smartphone"/>
    <x v="0"/>
    <x v="1"/>
    <x v="1"/>
    <x v="3"/>
    <x v="1"/>
    <s v="Standard"/>
    <d v="2021-08-01T00:00:00"/>
    <x v="3"/>
  </r>
  <r>
    <s v="TRX0123"/>
    <d v="2024-09-19T00:00:00"/>
    <x v="13"/>
    <x v="13"/>
    <s v="P002"/>
    <s v="Smartphone"/>
    <x v="0"/>
    <x v="1"/>
    <x v="1"/>
    <x v="1"/>
    <x v="0"/>
    <s v="Basic"/>
    <d v="2022-02-26T00:00:00"/>
    <x v="3"/>
  </r>
  <r>
    <s v="TRX0034"/>
    <d v="2024-10-16T00:00:00"/>
    <x v="14"/>
    <x v="14"/>
    <s v="P002"/>
    <s v="Smartphone"/>
    <x v="0"/>
    <x v="1"/>
    <x v="1"/>
    <x v="0"/>
    <x v="3"/>
    <s v="Basic"/>
    <d v="2024-04-03T00:00:00"/>
    <x v="3"/>
  </r>
  <r>
    <s v="TRX0066"/>
    <d v="2024-12-04T00:00:00"/>
    <x v="15"/>
    <x v="15"/>
    <s v="P002"/>
    <s v="Smartphone"/>
    <x v="0"/>
    <x v="1"/>
    <x v="1"/>
    <x v="0"/>
    <x v="4"/>
    <s v="Premium"/>
    <d v="2022-05-22T00:00:00"/>
    <x v="3"/>
  </r>
  <r>
    <s v="TRX0010"/>
    <d v="2025-01-31T00:00:00"/>
    <x v="16"/>
    <x v="16"/>
    <s v="P002"/>
    <s v="Smartphone"/>
    <x v="0"/>
    <x v="1"/>
    <x v="1"/>
    <x v="2"/>
    <x v="2"/>
    <s v="Premium"/>
    <d v="2022-05-11T00:00:00"/>
    <x v="3"/>
  </r>
  <r>
    <s v="TRX0135"/>
    <d v="2024-04-23T00:00:00"/>
    <x v="17"/>
    <x v="17"/>
    <s v="P001"/>
    <s v="Laptop"/>
    <x v="0"/>
    <x v="2"/>
    <x v="0"/>
    <x v="1"/>
    <x v="1"/>
    <s v="Standard"/>
    <d v="2024-01-08T00:00:00"/>
    <x v="4"/>
  </r>
  <r>
    <s v="TRX0177"/>
    <d v="2024-09-24T00:00:00"/>
    <x v="18"/>
    <x v="18"/>
    <s v="P001"/>
    <s v="Laptop"/>
    <x v="0"/>
    <x v="2"/>
    <x v="0"/>
    <x v="0"/>
    <x v="4"/>
    <s v="Standard"/>
    <d v="2023-08-19T00:00:00"/>
    <x v="4"/>
  </r>
  <r>
    <s v="TRX0158"/>
    <d v="2024-10-14T00:00:00"/>
    <x v="19"/>
    <x v="19"/>
    <s v="P001"/>
    <s v="Laptop"/>
    <x v="0"/>
    <x v="2"/>
    <x v="0"/>
    <x v="1"/>
    <x v="2"/>
    <s v="Basic"/>
    <d v="2023-10-16T00:00:00"/>
    <x v="4"/>
  </r>
  <r>
    <s v="TRX0214"/>
    <d v="2025-02-20T00:00:00"/>
    <x v="9"/>
    <x v="9"/>
    <s v="P001"/>
    <s v="Laptop"/>
    <x v="0"/>
    <x v="2"/>
    <x v="0"/>
    <x v="3"/>
    <x v="1"/>
    <s v="Standard"/>
    <d v="2022-02-21T00:00:00"/>
    <x v="4"/>
  </r>
  <r>
    <s v="TRX0124"/>
    <d v="2025-03-21T00:00:00"/>
    <x v="20"/>
    <x v="20"/>
    <s v="P001"/>
    <s v="Laptop"/>
    <x v="0"/>
    <x v="2"/>
    <x v="0"/>
    <x v="2"/>
    <x v="4"/>
    <s v="Premium"/>
    <d v="2022-11-11T00:00:00"/>
    <x v="4"/>
  </r>
  <r>
    <s v="TRX0013"/>
    <d v="2025-03-21T00:00:00"/>
    <x v="15"/>
    <x v="15"/>
    <s v="P001"/>
    <s v="Laptop"/>
    <x v="0"/>
    <x v="2"/>
    <x v="0"/>
    <x v="1"/>
    <x v="4"/>
    <s v="Basic"/>
    <d v="2023-02-18T00:00:00"/>
    <x v="4"/>
  </r>
  <r>
    <s v="TRX0144"/>
    <d v="2025-04-02T00:00:00"/>
    <x v="1"/>
    <x v="1"/>
    <s v="P001"/>
    <s v="Laptop"/>
    <x v="0"/>
    <x v="2"/>
    <x v="0"/>
    <x v="3"/>
    <x v="3"/>
    <s v="Standard"/>
    <d v="2023-01-27T00:00:00"/>
    <x v="4"/>
  </r>
  <r>
    <s v="TRX0191"/>
    <d v="2024-04-27T00:00:00"/>
    <x v="21"/>
    <x v="21"/>
    <s v="P002"/>
    <s v="Smartphone"/>
    <x v="0"/>
    <x v="2"/>
    <x v="1"/>
    <x v="0"/>
    <x v="2"/>
    <s v="Basic"/>
    <d v="2022-01-16T00:00:00"/>
    <x v="5"/>
  </r>
  <r>
    <s v="TRX0184"/>
    <d v="2024-06-28T00:00:00"/>
    <x v="22"/>
    <x v="22"/>
    <s v="P002"/>
    <s v="Smartphone"/>
    <x v="0"/>
    <x v="2"/>
    <x v="1"/>
    <x v="0"/>
    <x v="1"/>
    <s v="Premium"/>
    <d v="2023-06-25T00:00:00"/>
    <x v="5"/>
  </r>
  <r>
    <s v="TRX0148"/>
    <d v="2024-11-23T00:00:00"/>
    <x v="23"/>
    <x v="23"/>
    <s v="P002"/>
    <s v="Smartphone"/>
    <x v="0"/>
    <x v="2"/>
    <x v="1"/>
    <x v="1"/>
    <x v="2"/>
    <s v="Standard"/>
    <d v="2022-01-22T00:00:00"/>
    <x v="5"/>
  </r>
  <r>
    <s v="TRX0125"/>
    <d v="2025-01-09T00:00:00"/>
    <x v="16"/>
    <x v="16"/>
    <s v="P002"/>
    <s v="Smartphone"/>
    <x v="0"/>
    <x v="2"/>
    <x v="1"/>
    <x v="0"/>
    <x v="3"/>
    <s v="Premium"/>
    <d v="2023-06-28T00:00:00"/>
    <x v="5"/>
  </r>
  <r>
    <s v="TRX0238"/>
    <d v="2025-01-11T00:00:00"/>
    <x v="21"/>
    <x v="21"/>
    <s v="P002"/>
    <s v="Smartphone"/>
    <x v="0"/>
    <x v="2"/>
    <x v="1"/>
    <x v="3"/>
    <x v="4"/>
    <s v="Premium"/>
    <d v="2022-02-10T00:00:00"/>
    <x v="5"/>
  </r>
  <r>
    <s v="TRX0120"/>
    <d v="2025-04-11T00:00:00"/>
    <x v="24"/>
    <x v="24"/>
    <s v="P002"/>
    <s v="Smartphone"/>
    <x v="0"/>
    <x v="2"/>
    <x v="1"/>
    <x v="1"/>
    <x v="4"/>
    <s v="Basic"/>
    <d v="2022-12-14T00:00:00"/>
    <x v="5"/>
  </r>
  <r>
    <s v="TRX0032"/>
    <d v="2024-12-12T00:00:00"/>
    <x v="13"/>
    <x v="13"/>
    <s v="P001"/>
    <s v="Laptop"/>
    <x v="0"/>
    <x v="3"/>
    <x v="0"/>
    <x v="3"/>
    <x v="4"/>
    <s v="Basic"/>
    <d v="2021-07-29T00:00:00"/>
    <x v="6"/>
  </r>
  <r>
    <s v="TRX0040"/>
    <d v="2024-05-12T00:00:00"/>
    <x v="25"/>
    <x v="25"/>
    <s v="P007"/>
    <s v="Desk"/>
    <x v="1"/>
    <x v="0"/>
    <x v="2"/>
    <x v="1"/>
    <x v="1"/>
    <s v="Basic"/>
    <d v="2023-08-30T00:00:00"/>
    <x v="7"/>
  </r>
  <r>
    <s v="TRX0205"/>
    <d v="2024-08-11T00:00:00"/>
    <x v="5"/>
    <x v="5"/>
    <s v="P007"/>
    <s v="Desk"/>
    <x v="1"/>
    <x v="0"/>
    <x v="2"/>
    <x v="0"/>
    <x v="4"/>
    <s v="Basic"/>
    <d v="2023-02-08T00:00:00"/>
    <x v="7"/>
  </r>
  <r>
    <s v="TRX0059"/>
    <d v="2025-01-16T00:00:00"/>
    <x v="26"/>
    <x v="26"/>
    <s v="P007"/>
    <s v="Desk"/>
    <x v="1"/>
    <x v="0"/>
    <x v="2"/>
    <x v="2"/>
    <x v="3"/>
    <s v="Basic"/>
    <d v="2021-08-23T00:00:00"/>
    <x v="7"/>
  </r>
  <r>
    <s v="TRX0105"/>
    <d v="2025-02-07T00:00:00"/>
    <x v="27"/>
    <x v="27"/>
    <s v="P007"/>
    <s v="Desk"/>
    <x v="1"/>
    <x v="0"/>
    <x v="2"/>
    <x v="0"/>
    <x v="0"/>
    <s v="Basic"/>
    <d v="2023-02-02T00:00:00"/>
    <x v="7"/>
  </r>
  <r>
    <s v="TRX0083"/>
    <d v="2025-02-22T00:00:00"/>
    <x v="28"/>
    <x v="28"/>
    <s v="P007"/>
    <s v="Desk"/>
    <x v="1"/>
    <x v="0"/>
    <x v="2"/>
    <x v="3"/>
    <x v="2"/>
    <s v="Standard"/>
    <d v="2023-08-04T00:00:00"/>
    <x v="7"/>
  </r>
  <r>
    <s v="TRX0134"/>
    <d v="2024-04-28T00:00:00"/>
    <x v="29"/>
    <x v="29"/>
    <s v="P002"/>
    <s v="Smartphone"/>
    <x v="0"/>
    <x v="3"/>
    <x v="1"/>
    <x v="3"/>
    <x v="4"/>
    <s v="Basic"/>
    <d v="2022-08-08T00:00:00"/>
    <x v="8"/>
  </r>
  <r>
    <s v="TRX0113"/>
    <d v="2024-07-08T00:00:00"/>
    <x v="30"/>
    <x v="30"/>
    <s v="P002"/>
    <s v="Smartphone"/>
    <x v="0"/>
    <x v="3"/>
    <x v="1"/>
    <x v="1"/>
    <x v="1"/>
    <s v="Premium"/>
    <d v="2024-04-07T00:00:00"/>
    <x v="8"/>
  </r>
  <r>
    <s v="TRX0217"/>
    <d v="2024-07-30T00:00:00"/>
    <x v="5"/>
    <x v="5"/>
    <s v="P002"/>
    <s v="Smartphone"/>
    <x v="0"/>
    <x v="3"/>
    <x v="1"/>
    <x v="0"/>
    <x v="4"/>
    <s v="Premium"/>
    <d v="2023-03-14T00:00:00"/>
    <x v="8"/>
  </r>
  <r>
    <s v="TRX0248"/>
    <d v="2024-08-30T00:00:00"/>
    <x v="18"/>
    <x v="18"/>
    <s v="P002"/>
    <s v="Smartphone"/>
    <x v="0"/>
    <x v="3"/>
    <x v="1"/>
    <x v="0"/>
    <x v="4"/>
    <s v="Premium"/>
    <d v="2021-08-13T00:00:00"/>
    <x v="8"/>
  </r>
  <r>
    <s v="TRX0225"/>
    <d v="2024-09-03T00:00:00"/>
    <x v="12"/>
    <x v="12"/>
    <s v="P002"/>
    <s v="Smartphone"/>
    <x v="0"/>
    <x v="3"/>
    <x v="1"/>
    <x v="2"/>
    <x v="3"/>
    <s v="Premium"/>
    <d v="2022-11-05T00:00:00"/>
    <x v="8"/>
  </r>
  <r>
    <s v="TRX0055"/>
    <d v="2024-10-08T00:00:00"/>
    <x v="26"/>
    <x v="26"/>
    <s v="P002"/>
    <s v="Smartphone"/>
    <x v="0"/>
    <x v="3"/>
    <x v="1"/>
    <x v="2"/>
    <x v="1"/>
    <s v="Premium"/>
    <d v="2023-12-14T00:00:00"/>
    <x v="8"/>
  </r>
  <r>
    <s v="TRX0009"/>
    <d v="2024-10-23T00:00:00"/>
    <x v="23"/>
    <x v="23"/>
    <s v="P002"/>
    <s v="Smartphone"/>
    <x v="0"/>
    <x v="3"/>
    <x v="1"/>
    <x v="3"/>
    <x v="3"/>
    <s v="Basic"/>
    <d v="2023-03-07T00:00:00"/>
    <x v="8"/>
  </r>
  <r>
    <s v="TRX0033"/>
    <d v="2024-11-17T00:00:00"/>
    <x v="5"/>
    <x v="5"/>
    <s v="P002"/>
    <s v="Smartphone"/>
    <x v="0"/>
    <x v="3"/>
    <x v="1"/>
    <x v="1"/>
    <x v="2"/>
    <s v="Standard"/>
    <d v="2022-07-28T00:00:00"/>
    <x v="8"/>
  </r>
  <r>
    <s v="TRX0188"/>
    <d v="2025-01-29T00:00:00"/>
    <x v="24"/>
    <x v="24"/>
    <s v="P002"/>
    <s v="Smartphone"/>
    <x v="0"/>
    <x v="3"/>
    <x v="1"/>
    <x v="2"/>
    <x v="3"/>
    <s v="Premium"/>
    <d v="2022-04-30T00:00:00"/>
    <x v="8"/>
  </r>
  <r>
    <s v="TRX0068"/>
    <d v="2025-04-01T00:00:00"/>
    <x v="31"/>
    <x v="31"/>
    <s v="P002"/>
    <s v="Smartphone"/>
    <x v="0"/>
    <x v="3"/>
    <x v="1"/>
    <x v="1"/>
    <x v="4"/>
    <s v="Standard"/>
    <d v="2022-02-26T00:00:00"/>
    <x v="8"/>
  </r>
  <r>
    <s v="TRX0071"/>
    <d v="2024-05-10T00:00:00"/>
    <x v="32"/>
    <x v="32"/>
    <s v="P009"/>
    <s v="Monitor"/>
    <x v="0"/>
    <x v="0"/>
    <x v="3"/>
    <x v="0"/>
    <x v="2"/>
    <s v="Standard"/>
    <d v="2021-11-25T00:00:00"/>
    <x v="9"/>
  </r>
  <r>
    <s v="TRX0234"/>
    <d v="2024-06-06T00:00:00"/>
    <x v="2"/>
    <x v="2"/>
    <s v="P009"/>
    <s v="Monitor"/>
    <x v="0"/>
    <x v="0"/>
    <x v="3"/>
    <x v="0"/>
    <x v="1"/>
    <s v="Standard"/>
    <d v="2022-05-26T00:00:00"/>
    <x v="9"/>
  </r>
  <r>
    <s v="TRX0075"/>
    <d v="2024-08-13T00:00:00"/>
    <x v="33"/>
    <x v="33"/>
    <s v="P009"/>
    <s v="Monitor"/>
    <x v="0"/>
    <x v="0"/>
    <x v="3"/>
    <x v="1"/>
    <x v="1"/>
    <s v="Premium"/>
    <d v="2022-08-09T00:00:00"/>
    <x v="9"/>
  </r>
  <r>
    <s v="TRX0057"/>
    <d v="2024-11-01T00:00:00"/>
    <x v="0"/>
    <x v="0"/>
    <s v="P009"/>
    <s v="Monitor"/>
    <x v="0"/>
    <x v="0"/>
    <x v="3"/>
    <x v="0"/>
    <x v="0"/>
    <s v="Standard"/>
    <d v="2022-11-16T00:00:00"/>
    <x v="9"/>
  </r>
  <r>
    <s v="TRX0012"/>
    <d v="2024-11-26T00:00:00"/>
    <x v="24"/>
    <x v="24"/>
    <s v="P009"/>
    <s v="Monitor"/>
    <x v="0"/>
    <x v="0"/>
    <x v="3"/>
    <x v="0"/>
    <x v="4"/>
    <s v="Basic"/>
    <d v="2022-11-08T00:00:00"/>
    <x v="9"/>
  </r>
  <r>
    <s v="TRX0094"/>
    <d v="2024-12-01T00:00:00"/>
    <x v="28"/>
    <x v="28"/>
    <s v="P009"/>
    <s v="Monitor"/>
    <x v="0"/>
    <x v="0"/>
    <x v="3"/>
    <x v="3"/>
    <x v="3"/>
    <s v="Premium"/>
    <d v="2021-10-16T00:00:00"/>
    <x v="9"/>
  </r>
  <r>
    <s v="TRX0243"/>
    <d v="2025-01-10T00:00:00"/>
    <x v="27"/>
    <x v="27"/>
    <s v="P009"/>
    <s v="Monitor"/>
    <x v="0"/>
    <x v="0"/>
    <x v="3"/>
    <x v="0"/>
    <x v="0"/>
    <s v="Basic"/>
    <d v="2024-02-08T00:00:00"/>
    <x v="9"/>
  </r>
  <r>
    <s v="TRX0175"/>
    <d v="2025-03-07T00:00:00"/>
    <x v="7"/>
    <x v="7"/>
    <s v="P009"/>
    <s v="Monitor"/>
    <x v="0"/>
    <x v="0"/>
    <x v="3"/>
    <x v="3"/>
    <x v="1"/>
    <s v="Standard"/>
    <d v="2021-12-10T00:00:00"/>
    <x v="9"/>
  </r>
  <r>
    <s v="TRX0242"/>
    <d v="2024-05-04T00:00:00"/>
    <x v="5"/>
    <x v="5"/>
    <s v="P007"/>
    <s v="Desk"/>
    <x v="1"/>
    <x v="1"/>
    <x v="2"/>
    <x v="3"/>
    <x v="2"/>
    <s v="Premium"/>
    <d v="2022-06-04T00:00:00"/>
    <x v="10"/>
  </r>
  <r>
    <s v="TRX0174"/>
    <d v="2024-10-01T00:00:00"/>
    <x v="30"/>
    <x v="30"/>
    <s v="P007"/>
    <s v="Desk"/>
    <x v="1"/>
    <x v="1"/>
    <x v="2"/>
    <x v="3"/>
    <x v="3"/>
    <s v="Premium"/>
    <d v="2021-09-21T00:00:00"/>
    <x v="10"/>
  </r>
  <r>
    <s v="TRX0204"/>
    <d v="2024-05-03T00:00:00"/>
    <x v="31"/>
    <x v="31"/>
    <s v="P009"/>
    <s v="Monitor"/>
    <x v="0"/>
    <x v="1"/>
    <x v="3"/>
    <x v="1"/>
    <x v="4"/>
    <s v="Standard"/>
    <d v="2021-09-29T00:00:00"/>
    <x v="11"/>
  </r>
  <r>
    <s v="TRX0215"/>
    <d v="2024-07-25T00:00:00"/>
    <x v="3"/>
    <x v="3"/>
    <s v="P009"/>
    <s v="Monitor"/>
    <x v="0"/>
    <x v="1"/>
    <x v="3"/>
    <x v="2"/>
    <x v="3"/>
    <s v="Standard"/>
    <d v="2023-07-20T00:00:00"/>
    <x v="11"/>
  </r>
  <r>
    <s v="TRX0076"/>
    <d v="2024-11-11T00:00:00"/>
    <x v="6"/>
    <x v="6"/>
    <s v="P009"/>
    <s v="Monitor"/>
    <x v="0"/>
    <x v="1"/>
    <x v="3"/>
    <x v="0"/>
    <x v="2"/>
    <s v="Standard"/>
    <d v="2022-04-08T00:00:00"/>
    <x v="11"/>
  </r>
  <r>
    <s v="TRX0137"/>
    <d v="2024-12-03T00:00:00"/>
    <x v="8"/>
    <x v="8"/>
    <s v="P009"/>
    <s v="Monitor"/>
    <x v="0"/>
    <x v="1"/>
    <x v="3"/>
    <x v="1"/>
    <x v="1"/>
    <s v="Premium"/>
    <d v="2023-06-21T00:00:00"/>
    <x v="11"/>
  </r>
  <r>
    <s v="TRX0087"/>
    <d v="2025-01-14T00:00:00"/>
    <x v="11"/>
    <x v="11"/>
    <s v="P009"/>
    <s v="Monitor"/>
    <x v="0"/>
    <x v="1"/>
    <x v="3"/>
    <x v="0"/>
    <x v="4"/>
    <s v="Premium"/>
    <d v="2021-09-21T00:00:00"/>
    <x v="11"/>
  </r>
  <r>
    <s v="TRX0159"/>
    <d v="2025-01-26T00:00:00"/>
    <x v="15"/>
    <x v="15"/>
    <s v="P009"/>
    <s v="Monitor"/>
    <x v="0"/>
    <x v="1"/>
    <x v="3"/>
    <x v="2"/>
    <x v="3"/>
    <s v="Premium"/>
    <d v="2023-10-18T00:00:00"/>
    <x v="11"/>
  </r>
  <r>
    <s v="TRX0029"/>
    <d v="2024-05-15T00:00:00"/>
    <x v="28"/>
    <x v="28"/>
    <s v="P006"/>
    <s v="Office Chair"/>
    <x v="1"/>
    <x v="0"/>
    <x v="4"/>
    <x v="3"/>
    <x v="0"/>
    <s v="Standard"/>
    <d v="2021-08-04T00:00:00"/>
    <x v="12"/>
  </r>
  <r>
    <s v="TRX0027"/>
    <d v="2024-08-15T00:00:00"/>
    <x v="11"/>
    <x v="11"/>
    <s v="P006"/>
    <s v="Office Chair"/>
    <x v="1"/>
    <x v="0"/>
    <x v="4"/>
    <x v="3"/>
    <x v="4"/>
    <s v="Premium"/>
    <d v="2023-03-06T00:00:00"/>
    <x v="12"/>
  </r>
  <r>
    <s v="TRX0223"/>
    <d v="2025-01-10T00:00:00"/>
    <x v="32"/>
    <x v="32"/>
    <s v="P006"/>
    <s v="Office Chair"/>
    <x v="1"/>
    <x v="0"/>
    <x v="4"/>
    <x v="1"/>
    <x v="3"/>
    <s v="Standard"/>
    <d v="2022-03-13T00:00:00"/>
    <x v="12"/>
  </r>
  <r>
    <s v="TRX0230"/>
    <d v="2024-04-27T00:00:00"/>
    <x v="19"/>
    <x v="19"/>
    <s v="P001"/>
    <s v="Laptop"/>
    <x v="0"/>
    <x v="4"/>
    <x v="0"/>
    <x v="2"/>
    <x v="4"/>
    <s v="Standard"/>
    <d v="2022-12-25T00:00:00"/>
    <x v="13"/>
  </r>
  <r>
    <s v="TRX0041"/>
    <d v="2024-05-20T00:00:00"/>
    <x v="34"/>
    <x v="34"/>
    <s v="P001"/>
    <s v="Laptop"/>
    <x v="0"/>
    <x v="4"/>
    <x v="0"/>
    <x v="0"/>
    <x v="2"/>
    <s v="Premium"/>
    <d v="2022-01-17T00:00:00"/>
    <x v="13"/>
  </r>
  <r>
    <s v="TRX0162"/>
    <d v="2024-07-23T00:00:00"/>
    <x v="20"/>
    <x v="20"/>
    <s v="P001"/>
    <s v="Laptop"/>
    <x v="0"/>
    <x v="4"/>
    <x v="0"/>
    <x v="3"/>
    <x v="3"/>
    <s v="Standard"/>
    <d v="2023-09-10T00:00:00"/>
    <x v="13"/>
  </r>
  <r>
    <s v="TRX0189"/>
    <d v="2024-10-16T00:00:00"/>
    <x v="20"/>
    <x v="20"/>
    <s v="P001"/>
    <s v="Laptop"/>
    <x v="0"/>
    <x v="4"/>
    <x v="0"/>
    <x v="0"/>
    <x v="1"/>
    <s v="Standard"/>
    <d v="2024-03-18T00:00:00"/>
    <x v="13"/>
  </r>
  <r>
    <s v="TRX0207"/>
    <d v="2024-12-31T00:00:00"/>
    <x v="5"/>
    <x v="5"/>
    <s v="P001"/>
    <s v="Laptop"/>
    <x v="0"/>
    <x v="4"/>
    <x v="0"/>
    <x v="1"/>
    <x v="4"/>
    <s v="Premium"/>
    <d v="2023-05-04T00:00:00"/>
    <x v="13"/>
  </r>
  <r>
    <s v="TRX0026"/>
    <d v="2025-01-04T00:00:00"/>
    <x v="35"/>
    <x v="35"/>
    <s v="P001"/>
    <s v="Laptop"/>
    <x v="0"/>
    <x v="4"/>
    <x v="0"/>
    <x v="1"/>
    <x v="4"/>
    <s v="Standard"/>
    <d v="2022-07-10T00:00:00"/>
    <x v="13"/>
  </r>
  <r>
    <s v="TRX0232"/>
    <d v="2024-05-22T00:00:00"/>
    <x v="6"/>
    <x v="6"/>
    <s v="P007"/>
    <s v="Desk"/>
    <x v="1"/>
    <x v="2"/>
    <x v="2"/>
    <x v="0"/>
    <x v="1"/>
    <s v="Basic"/>
    <d v="2022-09-20T00:00:00"/>
    <x v="14"/>
  </r>
  <r>
    <s v="TRX0002"/>
    <d v="2024-07-28T00:00:00"/>
    <x v="4"/>
    <x v="4"/>
    <s v="P007"/>
    <s v="Desk"/>
    <x v="1"/>
    <x v="2"/>
    <x v="2"/>
    <x v="3"/>
    <x v="3"/>
    <s v="Basic"/>
    <d v="2022-06-20T00:00:00"/>
    <x v="14"/>
  </r>
  <r>
    <s v="TRX0108"/>
    <d v="2024-09-12T00:00:00"/>
    <x v="15"/>
    <x v="15"/>
    <s v="P007"/>
    <s v="Desk"/>
    <x v="1"/>
    <x v="2"/>
    <x v="2"/>
    <x v="0"/>
    <x v="3"/>
    <s v="Premium"/>
    <d v="2021-10-25T00:00:00"/>
    <x v="14"/>
  </r>
  <r>
    <s v="TRX0085"/>
    <d v="2024-10-11T00:00:00"/>
    <x v="4"/>
    <x v="4"/>
    <s v="P007"/>
    <s v="Desk"/>
    <x v="1"/>
    <x v="2"/>
    <x v="2"/>
    <x v="0"/>
    <x v="3"/>
    <s v="Standard"/>
    <d v="2023-09-05T00:00:00"/>
    <x v="14"/>
  </r>
  <r>
    <s v="TRX0017"/>
    <d v="2024-11-04T00:00:00"/>
    <x v="16"/>
    <x v="16"/>
    <s v="P007"/>
    <s v="Desk"/>
    <x v="1"/>
    <x v="2"/>
    <x v="2"/>
    <x v="0"/>
    <x v="0"/>
    <s v="Standard"/>
    <d v="2021-11-02T00:00:00"/>
    <x v="14"/>
  </r>
  <r>
    <s v="TRX0045"/>
    <d v="2024-12-01T00:00:00"/>
    <x v="34"/>
    <x v="34"/>
    <s v="P007"/>
    <s v="Desk"/>
    <x v="1"/>
    <x v="2"/>
    <x v="2"/>
    <x v="3"/>
    <x v="0"/>
    <s v="Premium"/>
    <d v="2022-04-08T00:00:00"/>
    <x v="14"/>
  </r>
  <r>
    <s v="TRX0091"/>
    <d v="2025-01-06T00:00:00"/>
    <x v="30"/>
    <x v="30"/>
    <s v="P007"/>
    <s v="Desk"/>
    <x v="1"/>
    <x v="2"/>
    <x v="2"/>
    <x v="3"/>
    <x v="0"/>
    <s v="Standard"/>
    <d v="2021-08-14T00:00:00"/>
    <x v="14"/>
  </r>
  <r>
    <s v="TRX0051"/>
    <d v="2025-01-14T00:00:00"/>
    <x v="18"/>
    <x v="18"/>
    <s v="P007"/>
    <s v="Desk"/>
    <x v="1"/>
    <x v="2"/>
    <x v="2"/>
    <x v="0"/>
    <x v="0"/>
    <s v="Basic"/>
    <d v="2023-10-05T00:00:00"/>
    <x v="14"/>
  </r>
  <r>
    <s v="TRX0178"/>
    <d v="2025-01-29T00:00:00"/>
    <x v="5"/>
    <x v="5"/>
    <s v="P007"/>
    <s v="Desk"/>
    <x v="1"/>
    <x v="2"/>
    <x v="2"/>
    <x v="2"/>
    <x v="2"/>
    <s v="Standard"/>
    <d v="2023-01-26T00:00:00"/>
    <x v="14"/>
  </r>
  <r>
    <s v="TRX0019"/>
    <d v="2025-03-23T00:00:00"/>
    <x v="0"/>
    <x v="0"/>
    <s v="P007"/>
    <s v="Desk"/>
    <x v="1"/>
    <x v="2"/>
    <x v="2"/>
    <x v="0"/>
    <x v="2"/>
    <s v="Premium"/>
    <d v="2023-11-04T00:00:00"/>
    <x v="14"/>
  </r>
  <r>
    <s v="TRX0247"/>
    <d v="2024-08-13T00:00:00"/>
    <x v="22"/>
    <x v="22"/>
    <s v="P006"/>
    <s v="Office Chair"/>
    <x v="1"/>
    <x v="1"/>
    <x v="4"/>
    <x v="3"/>
    <x v="4"/>
    <s v="Standard"/>
    <d v="2021-09-19T00:00:00"/>
    <x v="15"/>
  </r>
  <r>
    <s v="TRX0054"/>
    <d v="2024-09-16T00:00:00"/>
    <x v="23"/>
    <x v="23"/>
    <s v="P006"/>
    <s v="Office Chair"/>
    <x v="1"/>
    <x v="1"/>
    <x v="4"/>
    <x v="2"/>
    <x v="1"/>
    <s v="Basic"/>
    <d v="2021-09-19T00:00:00"/>
    <x v="15"/>
  </r>
  <r>
    <s v="TRX0160"/>
    <d v="2024-11-21T00:00:00"/>
    <x v="1"/>
    <x v="1"/>
    <s v="P006"/>
    <s v="Office Chair"/>
    <x v="1"/>
    <x v="1"/>
    <x v="4"/>
    <x v="2"/>
    <x v="3"/>
    <s v="Premium"/>
    <d v="2021-08-19T00:00:00"/>
    <x v="15"/>
  </r>
  <r>
    <s v="TRX0165"/>
    <d v="2024-12-28T00:00:00"/>
    <x v="7"/>
    <x v="7"/>
    <s v="P006"/>
    <s v="Office Chair"/>
    <x v="1"/>
    <x v="1"/>
    <x v="4"/>
    <x v="0"/>
    <x v="3"/>
    <s v="Basic"/>
    <d v="2021-11-23T00:00:00"/>
    <x v="15"/>
  </r>
  <r>
    <s v="TRX0106"/>
    <d v="2025-01-16T00:00:00"/>
    <x v="12"/>
    <x v="12"/>
    <s v="P006"/>
    <s v="Office Chair"/>
    <x v="1"/>
    <x v="1"/>
    <x v="4"/>
    <x v="2"/>
    <x v="0"/>
    <s v="Standard"/>
    <d v="2021-12-14T00:00:00"/>
    <x v="15"/>
  </r>
  <r>
    <s v="TRX0155"/>
    <d v="2024-04-11T00:00:00"/>
    <x v="0"/>
    <x v="0"/>
    <s v="P009"/>
    <s v="Monitor"/>
    <x v="0"/>
    <x v="2"/>
    <x v="3"/>
    <x v="3"/>
    <x v="3"/>
    <s v="Basic"/>
    <d v="2021-08-17T00:00:00"/>
    <x v="16"/>
  </r>
  <r>
    <s v="TRX0023"/>
    <d v="2024-04-14T00:00:00"/>
    <x v="2"/>
    <x v="2"/>
    <s v="P009"/>
    <s v="Monitor"/>
    <x v="0"/>
    <x v="2"/>
    <x v="3"/>
    <x v="0"/>
    <x v="3"/>
    <s v="Premium"/>
    <d v="2022-01-14T00:00:00"/>
    <x v="16"/>
  </r>
  <r>
    <s v="TRX0222"/>
    <d v="2024-04-28T00:00:00"/>
    <x v="27"/>
    <x v="27"/>
    <s v="P009"/>
    <s v="Monitor"/>
    <x v="0"/>
    <x v="2"/>
    <x v="3"/>
    <x v="0"/>
    <x v="4"/>
    <s v="Premium"/>
    <d v="2023-10-25T00:00:00"/>
    <x v="16"/>
  </r>
  <r>
    <s v="TRX0098"/>
    <d v="2024-08-13T00:00:00"/>
    <x v="16"/>
    <x v="16"/>
    <s v="P009"/>
    <s v="Monitor"/>
    <x v="0"/>
    <x v="2"/>
    <x v="3"/>
    <x v="1"/>
    <x v="4"/>
    <s v="Premium"/>
    <d v="2021-09-26T00:00:00"/>
    <x v="16"/>
  </r>
  <r>
    <s v="TRX0212"/>
    <d v="2024-04-18T00:00:00"/>
    <x v="30"/>
    <x v="30"/>
    <s v="P008"/>
    <s v="Bookshelf"/>
    <x v="1"/>
    <x v="0"/>
    <x v="5"/>
    <x v="0"/>
    <x v="4"/>
    <s v="Premium"/>
    <d v="2024-01-04T00:00:00"/>
    <x v="17"/>
  </r>
  <r>
    <s v="TRX0193"/>
    <d v="2024-04-21T00:00:00"/>
    <x v="15"/>
    <x v="15"/>
    <s v="P003"/>
    <s v="Headphones"/>
    <x v="0"/>
    <x v="0"/>
    <x v="5"/>
    <x v="0"/>
    <x v="3"/>
    <s v="Standard"/>
    <d v="2021-08-10T00:00:00"/>
    <x v="17"/>
  </r>
  <r>
    <s v="TRX0209"/>
    <d v="2024-04-26T00:00:00"/>
    <x v="22"/>
    <x v="22"/>
    <s v="P008"/>
    <s v="Bookshelf"/>
    <x v="1"/>
    <x v="0"/>
    <x v="5"/>
    <x v="2"/>
    <x v="4"/>
    <s v="Basic"/>
    <d v="2022-09-26T00:00:00"/>
    <x v="17"/>
  </r>
  <r>
    <s v="TRX0236"/>
    <d v="2024-08-22T00:00:00"/>
    <x v="31"/>
    <x v="31"/>
    <s v="P008"/>
    <s v="Bookshelf"/>
    <x v="1"/>
    <x v="0"/>
    <x v="5"/>
    <x v="0"/>
    <x v="3"/>
    <s v="Basic"/>
    <d v="2024-01-19T00:00:00"/>
    <x v="17"/>
  </r>
  <r>
    <s v="TRX0210"/>
    <d v="2024-11-12T00:00:00"/>
    <x v="23"/>
    <x v="23"/>
    <s v="P008"/>
    <s v="Bookshelf"/>
    <x v="1"/>
    <x v="0"/>
    <x v="5"/>
    <x v="1"/>
    <x v="3"/>
    <s v="Basic"/>
    <d v="2022-12-06T00:00:00"/>
    <x v="17"/>
  </r>
  <r>
    <s v="TRX0073"/>
    <d v="2024-11-17T00:00:00"/>
    <x v="18"/>
    <x v="18"/>
    <s v="P008"/>
    <s v="Bookshelf"/>
    <x v="1"/>
    <x v="0"/>
    <x v="5"/>
    <x v="3"/>
    <x v="4"/>
    <s v="Basic"/>
    <d v="2022-11-04T00:00:00"/>
    <x v="17"/>
  </r>
  <r>
    <s v="TRX0147"/>
    <d v="2024-12-29T00:00:00"/>
    <x v="32"/>
    <x v="32"/>
    <s v="P008"/>
    <s v="Bookshelf"/>
    <x v="1"/>
    <x v="0"/>
    <x v="5"/>
    <x v="3"/>
    <x v="3"/>
    <s v="Premium"/>
    <d v="2024-02-25T00:00:00"/>
    <x v="17"/>
  </r>
  <r>
    <s v="TRX0237"/>
    <d v="2025-01-06T00:00:00"/>
    <x v="36"/>
    <x v="36"/>
    <s v="P003"/>
    <s v="Headphones"/>
    <x v="0"/>
    <x v="0"/>
    <x v="5"/>
    <x v="1"/>
    <x v="1"/>
    <s v="Premium"/>
    <d v="2022-09-20T00:00:00"/>
    <x v="17"/>
  </r>
  <r>
    <s v="TRX0058"/>
    <d v="2024-08-28T00:00:00"/>
    <x v="3"/>
    <x v="3"/>
    <s v="P002"/>
    <s v="Smartphone"/>
    <x v="0"/>
    <x v="4"/>
    <x v="1"/>
    <x v="3"/>
    <x v="3"/>
    <s v="Premium"/>
    <d v="2021-10-28T00:00:00"/>
    <x v="18"/>
  </r>
  <r>
    <s v="TRX0151"/>
    <d v="2025-02-22T00:00:00"/>
    <x v="20"/>
    <x v="20"/>
    <s v="P002"/>
    <s v="Smartphone"/>
    <x v="0"/>
    <x v="4"/>
    <x v="1"/>
    <x v="1"/>
    <x v="2"/>
    <s v="Basic"/>
    <d v="2023-01-08T00:00:00"/>
    <x v="18"/>
  </r>
  <r>
    <s v="TRX0047"/>
    <d v="2025-02-23T00:00:00"/>
    <x v="37"/>
    <x v="37"/>
    <s v="P002"/>
    <s v="Smartphone"/>
    <x v="0"/>
    <x v="4"/>
    <x v="1"/>
    <x v="3"/>
    <x v="4"/>
    <s v="Premium"/>
    <d v="2022-01-22T00:00:00"/>
    <x v="18"/>
  </r>
  <r>
    <s v="TRX0150"/>
    <d v="2024-06-17T00:00:00"/>
    <x v="10"/>
    <x v="10"/>
    <s v="P007"/>
    <s v="Desk"/>
    <x v="1"/>
    <x v="3"/>
    <x v="2"/>
    <x v="2"/>
    <x v="1"/>
    <s v="Standard"/>
    <d v="2023-11-23T00:00:00"/>
    <x v="19"/>
  </r>
  <r>
    <s v="TRX0181"/>
    <d v="2024-09-28T00:00:00"/>
    <x v="6"/>
    <x v="6"/>
    <s v="P007"/>
    <s v="Desk"/>
    <x v="1"/>
    <x v="3"/>
    <x v="2"/>
    <x v="2"/>
    <x v="3"/>
    <s v="Basic"/>
    <d v="2022-01-08T00:00:00"/>
    <x v="19"/>
  </r>
  <r>
    <s v="TRX0224"/>
    <d v="2024-12-15T00:00:00"/>
    <x v="38"/>
    <x v="38"/>
    <s v="P007"/>
    <s v="Desk"/>
    <x v="1"/>
    <x v="3"/>
    <x v="2"/>
    <x v="3"/>
    <x v="1"/>
    <s v="Premium"/>
    <d v="2022-06-12T00:00:00"/>
    <x v="19"/>
  </r>
  <r>
    <s v="TRX0171"/>
    <d v="2024-12-23T00:00:00"/>
    <x v="34"/>
    <x v="34"/>
    <s v="P007"/>
    <s v="Desk"/>
    <x v="1"/>
    <x v="3"/>
    <x v="2"/>
    <x v="1"/>
    <x v="0"/>
    <s v="Basic"/>
    <d v="2022-06-09T00:00:00"/>
    <x v="19"/>
  </r>
  <r>
    <s v="TRX0143"/>
    <d v="2024-12-28T00:00:00"/>
    <x v="30"/>
    <x v="30"/>
    <s v="P007"/>
    <s v="Desk"/>
    <x v="1"/>
    <x v="3"/>
    <x v="2"/>
    <x v="3"/>
    <x v="2"/>
    <s v="Basic"/>
    <d v="2022-07-29T00:00:00"/>
    <x v="19"/>
  </r>
  <r>
    <s v="TRX0048"/>
    <d v="2025-02-27T00:00:00"/>
    <x v="27"/>
    <x v="27"/>
    <s v="P007"/>
    <s v="Desk"/>
    <x v="1"/>
    <x v="3"/>
    <x v="2"/>
    <x v="1"/>
    <x v="0"/>
    <s v="Basic"/>
    <d v="2022-01-15T00:00:00"/>
    <x v="19"/>
  </r>
  <r>
    <s v="TRX0245"/>
    <d v="2024-05-26T00:00:00"/>
    <x v="38"/>
    <x v="38"/>
    <s v="P006"/>
    <s v="Office Chair"/>
    <x v="1"/>
    <x v="2"/>
    <x v="4"/>
    <x v="0"/>
    <x v="4"/>
    <s v="Premium"/>
    <d v="2024-01-01T00:00:00"/>
    <x v="20"/>
  </r>
  <r>
    <s v="TRX0131"/>
    <d v="2024-07-18T00:00:00"/>
    <x v="16"/>
    <x v="16"/>
    <s v="P006"/>
    <s v="Office Chair"/>
    <x v="1"/>
    <x v="2"/>
    <x v="4"/>
    <x v="3"/>
    <x v="4"/>
    <s v="Premium"/>
    <d v="2023-11-24T00:00:00"/>
    <x v="20"/>
  </r>
  <r>
    <s v="TRX0089"/>
    <d v="2025-02-16T00:00:00"/>
    <x v="34"/>
    <x v="34"/>
    <s v="P006"/>
    <s v="Office Chair"/>
    <x v="1"/>
    <x v="2"/>
    <x v="4"/>
    <x v="3"/>
    <x v="3"/>
    <s v="Basic"/>
    <d v="2022-06-23T00:00:00"/>
    <x v="20"/>
  </r>
  <r>
    <s v="TRX0221"/>
    <d v="2025-02-20T00:00:00"/>
    <x v="39"/>
    <x v="39"/>
    <s v="P006"/>
    <s v="Office Chair"/>
    <x v="1"/>
    <x v="2"/>
    <x v="4"/>
    <x v="3"/>
    <x v="2"/>
    <s v="Premium"/>
    <d v="2022-09-19T00:00:00"/>
    <x v="20"/>
  </r>
  <r>
    <s v="TRX0049"/>
    <d v="2024-04-28T00:00:00"/>
    <x v="5"/>
    <x v="5"/>
    <s v="P008"/>
    <s v="Bookshelf"/>
    <x v="1"/>
    <x v="1"/>
    <x v="5"/>
    <x v="2"/>
    <x v="4"/>
    <s v="Premium"/>
    <d v="2024-03-23T00:00:00"/>
    <x v="21"/>
  </r>
  <r>
    <s v="TRX0020"/>
    <d v="2024-08-13T00:00:00"/>
    <x v="40"/>
    <x v="40"/>
    <s v="P003"/>
    <s v="Headphones"/>
    <x v="0"/>
    <x v="1"/>
    <x v="5"/>
    <x v="2"/>
    <x v="0"/>
    <s v="Premium"/>
    <d v="2022-09-16T00:00:00"/>
    <x v="21"/>
  </r>
  <r>
    <s v="TRX0005"/>
    <d v="2024-09-15T00:00:00"/>
    <x v="37"/>
    <x v="37"/>
    <s v="P003"/>
    <s v="Headphones"/>
    <x v="0"/>
    <x v="1"/>
    <x v="5"/>
    <x v="3"/>
    <x v="4"/>
    <s v="Basic"/>
    <d v="2022-12-14T00:00:00"/>
    <x v="21"/>
  </r>
  <r>
    <s v="TRX0203"/>
    <d v="2024-10-07T00:00:00"/>
    <x v="18"/>
    <x v="18"/>
    <s v="P003"/>
    <s v="Headphones"/>
    <x v="0"/>
    <x v="1"/>
    <x v="5"/>
    <x v="0"/>
    <x v="4"/>
    <s v="Premium"/>
    <d v="2023-05-30T00:00:00"/>
    <x v="21"/>
  </r>
  <r>
    <s v="TRX0084"/>
    <d v="2025-01-11T00:00:00"/>
    <x v="38"/>
    <x v="38"/>
    <s v="P003"/>
    <s v="Headphones"/>
    <x v="0"/>
    <x v="1"/>
    <x v="5"/>
    <x v="2"/>
    <x v="1"/>
    <s v="Standard"/>
    <d v="2021-12-06T00:00:00"/>
    <x v="21"/>
  </r>
  <r>
    <s v="TRX0200"/>
    <d v="2025-02-23T00:00:00"/>
    <x v="35"/>
    <x v="35"/>
    <s v="P008"/>
    <s v="Bookshelf"/>
    <x v="1"/>
    <x v="1"/>
    <x v="5"/>
    <x v="1"/>
    <x v="4"/>
    <s v="Premium"/>
    <d v="2021-08-04T00:00:00"/>
    <x v="21"/>
  </r>
  <r>
    <s v="TRX0199"/>
    <d v="2025-03-08T00:00:00"/>
    <x v="28"/>
    <x v="28"/>
    <s v="P008"/>
    <s v="Bookshelf"/>
    <x v="1"/>
    <x v="1"/>
    <x v="5"/>
    <x v="3"/>
    <x v="3"/>
    <s v="Standard"/>
    <d v="2023-12-03T00:00:00"/>
    <x v="21"/>
  </r>
  <r>
    <s v="TRX0050"/>
    <d v="2025-03-24T00:00:00"/>
    <x v="41"/>
    <x v="41"/>
    <s v="P008"/>
    <s v="Bookshelf"/>
    <x v="1"/>
    <x v="1"/>
    <x v="5"/>
    <x v="1"/>
    <x v="2"/>
    <s v="Standard"/>
    <d v="2021-12-30T00:00:00"/>
    <x v="21"/>
  </r>
  <r>
    <s v="TRX0080"/>
    <d v="2024-07-27T00:00:00"/>
    <x v="9"/>
    <x v="9"/>
    <s v="P009"/>
    <s v="Monitor"/>
    <x v="0"/>
    <x v="3"/>
    <x v="3"/>
    <x v="3"/>
    <x v="4"/>
    <s v="Premium"/>
    <d v="2023-08-26T00:00:00"/>
    <x v="22"/>
  </r>
  <r>
    <s v="TRX0037"/>
    <d v="2024-08-24T00:00:00"/>
    <x v="42"/>
    <x v="42"/>
    <s v="P009"/>
    <s v="Monitor"/>
    <x v="0"/>
    <x v="3"/>
    <x v="3"/>
    <x v="3"/>
    <x v="0"/>
    <s v="Standard"/>
    <d v="2022-01-11T00:00:00"/>
    <x v="22"/>
  </r>
  <r>
    <s v="TRX0195"/>
    <d v="2024-09-16T00:00:00"/>
    <x v="16"/>
    <x v="16"/>
    <s v="P009"/>
    <s v="Monitor"/>
    <x v="0"/>
    <x v="3"/>
    <x v="3"/>
    <x v="1"/>
    <x v="0"/>
    <s v="Basic"/>
    <d v="2023-03-08T00:00:00"/>
    <x v="22"/>
  </r>
  <r>
    <s v="TRX0180"/>
    <d v="2024-12-09T00:00:00"/>
    <x v="32"/>
    <x v="32"/>
    <s v="P009"/>
    <s v="Monitor"/>
    <x v="0"/>
    <x v="3"/>
    <x v="3"/>
    <x v="0"/>
    <x v="3"/>
    <s v="Premium"/>
    <d v="2021-07-19T00:00:00"/>
    <x v="22"/>
  </r>
  <r>
    <s v="TRX0246"/>
    <d v="2024-04-26T00:00:00"/>
    <x v="13"/>
    <x v="13"/>
    <s v="P008"/>
    <s v="Bookshelf"/>
    <x v="1"/>
    <x v="2"/>
    <x v="5"/>
    <x v="3"/>
    <x v="4"/>
    <s v="Premium"/>
    <d v="2022-09-02T00:00:00"/>
    <x v="23"/>
  </r>
  <r>
    <s v="TRX0130"/>
    <d v="2024-05-18T00:00:00"/>
    <x v="43"/>
    <x v="43"/>
    <s v="P008"/>
    <s v="Bookshelf"/>
    <x v="1"/>
    <x v="2"/>
    <x v="5"/>
    <x v="0"/>
    <x v="2"/>
    <s v="Premium"/>
    <d v="2023-05-22T00:00:00"/>
    <x v="23"/>
  </r>
  <r>
    <s v="TRX0216"/>
    <d v="2024-07-17T00:00:00"/>
    <x v="13"/>
    <x v="13"/>
    <s v="P008"/>
    <s v="Bookshelf"/>
    <x v="1"/>
    <x v="2"/>
    <x v="5"/>
    <x v="3"/>
    <x v="3"/>
    <s v="Premium"/>
    <d v="2023-09-30T00:00:00"/>
    <x v="23"/>
  </r>
  <r>
    <s v="TRX0031"/>
    <d v="2024-08-19T00:00:00"/>
    <x v="32"/>
    <x v="32"/>
    <s v="P003"/>
    <s v="Headphones"/>
    <x v="0"/>
    <x v="2"/>
    <x v="5"/>
    <x v="1"/>
    <x v="1"/>
    <s v="Basic"/>
    <d v="2022-01-13T00:00:00"/>
    <x v="23"/>
  </r>
  <r>
    <s v="TRX0170"/>
    <d v="2024-08-28T00:00:00"/>
    <x v="44"/>
    <x v="44"/>
    <s v="P003"/>
    <s v="Headphones"/>
    <x v="0"/>
    <x v="2"/>
    <x v="5"/>
    <x v="3"/>
    <x v="2"/>
    <s v="Premium"/>
    <d v="2023-10-13T00:00:00"/>
    <x v="23"/>
  </r>
  <r>
    <s v="TRX0119"/>
    <d v="2024-09-25T00:00:00"/>
    <x v="45"/>
    <x v="45"/>
    <s v="P008"/>
    <s v="Bookshelf"/>
    <x v="1"/>
    <x v="2"/>
    <x v="5"/>
    <x v="1"/>
    <x v="1"/>
    <s v="Basic"/>
    <d v="2022-11-21T00:00:00"/>
    <x v="23"/>
  </r>
  <r>
    <s v="TRX0218"/>
    <d v="2024-10-08T00:00:00"/>
    <x v="44"/>
    <x v="44"/>
    <s v="P008"/>
    <s v="Bookshelf"/>
    <x v="1"/>
    <x v="2"/>
    <x v="5"/>
    <x v="0"/>
    <x v="0"/>
    <s v="Standard"/>
    <d v="2023-01-14T00:00:00"/>
    <x v="23"/>
  </r>
  <r>
    <s v="TRX0035"/>
    <d v="2024-11-11T00:00:00"/>
    <x v="13"/>
    <x v="13"/>
    <s v="P003"/>
    <s v="Headphones"/>
    <x v="0"/>
    <x v="2"/>
    <x v="5"/>
    <x v="3"/>
    <x v="4"/>
    <s v="Basic"/>
    <d v="2022-07-27T00:00:00"/>
    <x v="23"/>
  </r>
  <r>
    <s v="TRX0008"/>
    <d v="2024-12-22T00:00:00"/>
    <x v="40"/>
    <x v="40"/>
    <s v="P008"/>
    <s v="Bookshelf"/>
    <x v="1"/>
    <x v="2"/>
    <x v="5"/>
    <x v="2"/>
    <x v="4"/>
    <s v="Standard"/>
    <d v="2021-11-22T00:00:00"/>
    <x v="23"/>
  </r>
  <r>
    <s v="TRX0072"/>
    <d v="2025-01-16T00:00:00"/>
    <x v="17"/>
    <x v="17"/>
    <s v="P008"/>
    <s v="Bookshelf"/>
    <x v="1"/>
    <x v="2"/>
    <x v="5"/>
    <x v="0"/>
    <x v="1"/>
    <s v="Standard"/>
    <d v="2021-07-18T00:00:00"/>
    <x v="23"/>
  </r>
  <r>
    <s v="TRX0024"/>
    <d v="2025-02-07T00:00:00"/>
    <x v="37"/>
    <x v="37"/>
    <s v="P008"/>
    <s v="Bookshelf"/>
    <x v="1"/>
    <x v="2"/>
    <x v="5"/>
    <x v="2"/>
    <x v="4"/>
    <s v="Premium"/>
    <d v="2022-01-03T00:00:00"/>
    <x v="23"/>
  </r>
  <r>
    <s v="TRX0168"/>
    <d v="2025-02-19T00:00:00"/>
    <x v="30"/>
    <x v="30"/>
    <s v="P008"/>
    <s v="Bookshelf"/>
    <x v="1"/>
    <x v="2"/>
    <x v="5"/>
    <x v="1"/>
    <x v="3"/>
    <s v="Standard"/>
    <d v="2022-03-13T00:00:00"/>
    <x v="23"/>
  </r>
  <r>
    <s v="TRX0197"/>
    <d v="2025-03-30T00:00:00"/>
    <x v="27"/>
    <x v="27"/>
    <s v="P008"/>
    <s v="Bookshelf"/>
    <x v="1"/>
    <x v="2"/>
    <x v="5"/>
    <x v="1"/>
    <x v="3"/>
    <s v="Standard"/>
    <d v="2023-09-02T00:00:00"/>
    <x v="23"/>
  </r>
  <r>
    <s v="TRX0004"/>
    <d v="2024-05-12T00:00:00"/>
    <x v="6"/>
    <x v="6"/>
    <s v="P010"/>
    <s v="Keyboard"/>
    <x v="0"/>
    <x v="0"/>
    <x v="6"/>
    <x v="3"/>
    <x v="4"/>
    <s v="Premium"/>
    <d v="2022-12-24T00:00:00"/>
    <x v="24"/>
  </r>
  <r>
    <s v="TRX0208"/>
    <d v="2024-06-03T00:00:00"/>
    <x v="23"/>
    <x v="23"/>
    <s v="P010"/>
    <s v="Keyboard"/>
    <x v="0"/>
    <x v="0"/>
    <x v="6"/>
    <x v="0"/>
    <x v="1"/>
    <s v="Standard"/>
    <d v="2022-01-26T00:00:00"/>
    <x v="24"/>
  </r>
  <r>
    <s v="TRX0088"/>
    <d v="2024-06-13T00:00:00"/>
    <x v="36"/>
    <x v="36"/>
    <s v="P010"/>
    <s v="Keyboard"/>
    <x v="0"/>
    <x v="0"/>
    <x v="6"/>
    <x v="3"/>
    <x v="3"/>
    <s v="Premium"/>
    <d v="2022-01-18T00:00:00"/>
    <x v="24"/>
  </r>
  <r>
    <s v="TRX0114"/>
    <d v="2024-07-08T00:00:00"/>
    <x v="9"/>
    <x v="9"/>
    <s v="P010"/>
    <s v="Keyboard"/>
    <x v="0"/>
    <x v="0"/>
    <x v="6"/>
    <x v="2"/>
    <x v="4"/>
    <s v="Premium"/>
    <d v="2023-08-23T00:00:00"/>
    <x v="24"/>
  </r>
  <r>
    <s v="TRX0077"/>
    <d v="2024-09-19T00:00:00"/>
    <x v="4"/>
    <x v="4"/>
    <s v="P010"/>
    <s v="Keyboard"/>
    <x v="0"/>
    <x v="0"/>
    <x v="6"/>
    <x v="0"/>
    <x v="1"/>
    <s v="Premium"/>
    <d v="2021-09-07T00:00:00"/>
    <x v="24"/>
  </r>
  <r>
    <s v="TRX0062"/>
    <d v="2025-02-23T00:00:00"/>
    <x v="26"/>
    <x v="26"/>
    <s v="P010"/>
    <s v="Keyboard"/>
    <x v="0"/>
    <x v="0"/>
    <x v="6"/>
    <x v="1"/>
    <x v="2"/>
    <s v="Premium"/>
    <d v="2023-08-02T00:00:00"/>
    <x v="24"/>
  </r>
  <r>
    <s v="TRX0213"/>
    <d v="2025-03-29T00:00:00"/>
    <x v="33"/>
    <x v="33"/>
    <s v="P010"/>
    <s v="Keyboard"/>
    <x v="0"/>
    <x v="0"/>
    <x v="6"/>
    <x v="1"/>
    <x v="0"/>
    <s v="Basic"/>
    <d v="2022-05-23T00:00:00"/>
    <x v="24"/>
  </r>
  <r>
    <s v="TRX0097"/>
    <d v="2024-07-14T00:00:00"/>
    <x v="39"/>
    <x v="39"/>
    <s v="P006"/>
    <s v="Office Chair"/>
    <x v="1"/>
    <x v="3"/>
    <x v="4"/>
    <x v="3"/>
    <x v="4"/>
    <s v="Basic"/>
    <d v="2021-12-11T00:00:00"/>
    <x v="25"/>
  </r>
  <r>
    <s v="TRX0182"/>
    <d v="2025-02-24T00:00:00"/>
    <x v="38"/>
    <x v="38"/>
    <s v="P006"/>
    <s v="Office Chair"/>
    <x v="1"/>
    <x v="3"/>
    <x v="4"/>
    <x v="3"/>
    <x v="3"/>
    <s v="Premium"/>
    <d v="2022-01-12T00:00:00"/>
    <x v="25"/>
  </r>
  <r>
    <s v="TRX0070"/>
    <d v="2024-07-03T00:00:00"/>
    <x v="40"/>
    <x v="40"/>
    <s v="P004"/>
    <s v="Coffee Maker"/>
    <x v="2"/>
    <x v="0"/>
    <x v="7"/>
    <x v="2"/>
    <x v="3"/>
    <s v="Basic"/>
    <d v="2023-02-24T00:00:00"/>
    <x v="26"/>
  </r>
  <r>
    <s v="TRX0025"/>
    <d v="2024-06-25T00:00:00"/>
    <x v="14"/>
    <x v="14"/>
    <s v="P010"/>
    <s v="Keyboard"/>
    <x v="0"/>
    <x v="1"/>
    <x v="6"/>
    <x v="2"/>
    <x v="0"/>
    <s v="Basic"/>
    <d v="2023-12-21T00:00:00"/>
    <x v="27"/>
  </r>
  <r>
    <s v="TRX0112"/>
    <d v="2024-09-09T00:00:00"/>
    <x v="10"/>
    <x v="10"/>
    <s v="P004"/>
    <s v="Coffee Maker"/>
    <x v="2"/>
    <x v="1"/>
    <x v="7"/>
    <x v="3"/>
    <x v="4"/>
    <s v="Basic"/>
    <d v="2021-11-30T00:00:00"/>
    <x v="28"/>
  </r>
  <r>
    <s v="TRX0036"/>
    <d v="2024-12-09T00:00:00"/>
    <x v="10"/>
    <x v="10"/>
    <s v="P004"/>
    <s v="Coffee Maker"/>
    <x v="2"/>
    <x v="1"/>
    <x v="7"/>
    <x v="2"/>
    <x v="1"/>
    <s v="Standard"/>
    <d v="2022-12-26T00:00:00"/>
    <x v="28"/>
  </r>
  <r>
    <s v="TRX0152"/>
    <d v="2025-03-27T00:00:00"/>
    <x v="31"/>
    <x v="31"/>
    <s v="P004"/>
    <s v="Coffee Maker"/>
    <x v="2"/>
    <x v="1"/>
    <x v="7"/>
    <x v="0"/>
    <x v="3"/>
    <s v="Basic"/>
    <d v="2023-12-28T00:00:00"/>
    <x v="28"/>
  </r>
  <r>
    <s v="TRX0141"/>
    <d v="2024-07-11T00:00:00"/>
    <x v="39"/>
    <x v="39"/>
    <s v="P007"/>
    <s v="Desk"/>
    <x v="1"/>
    <x v="4"/>
    <x v="2"/>
    <x v="0"/>
    <x v="4"/>
    <s v="Premium"/>
    <d v="2022-11-26T00:00:00"/>
    <x v="29"/>
  </r>
  <r>
    <s v="TRX0228"/>
    <d v="2024-07-27T00:00:00"/>
    <x v="4"/>
    <x v="4"/>
    <s v="P007"/>
    <s v="Desk"/>
    <x v="1"/>
    <x v="4"/>
    <x v="2"/>
    <x v="3"/>
    <x v="0"/>
    <s v="Basic"/>
    <d v="2023-02-25T00:00:00"/>
    <x v="29"/>
  </r>
  <r>
    <s v="TRX0022"/>
    <d v="2025-01-13T00:00:00"/>
    <x v="5"/>
    <x v="5"/>
    <s v="P007"/>
    <s v="Desk"/>
    <x v="1"/>
    <x v="4"/>
    <x v="2"/>
    <x v="0"/>
    <x v="4"/>
    <s v="Basic"/>
    <d v="2021-08-28T00:00:00"/>
    <x v="29"/>
  </r>
  <r>
    <s v="TRX0194"/>
    <d v="2024-05-16T00:00:00"/>
    <x v="36"/>
    <x v="36"/>
    <s v="P008"/>
    <s v="Bookshelf"/>
    <x v="1"/>
    <x v="3"/>
    <x v="5"/>
    <x v="0"/>
    <x v="2"/>
    <s v="Basic"/>
    <d v="2022-09-19T00:00:00"/>
    <x v="30"/>
  </r>
  <r>
    <s v="TRX0220"/>
    <d v="2024-06-07T00:00:00"/>
    <x v="30"/>
    <x v="30"/>
    <s v="P008"/>
    <s v="Bookshelf"/>
    <x v="1"/>
    <x v="3"/>
    <x v="5"/>
    <x v="3"/>
    <x v="1"/>
    <s v="Premium"/>
    <d v="2022-03-25T00:00:00"/>
    <x v="30"/>
  </r>
  <r>
    <s v="TRX0065"/>
    <d v="2024-08-05T00:00:00"/>
    <x v="26"/>
    <x v="26"/>
    <s v="P008"/>
    <s v="Bookshelf"/>
    <x v="1"/>
    <x v="3"/>
    <x v="5"/>
    <x v="0"/>
    <x v="2"/>
    <s v="Basic"/>
    <d v="2021-12-12T00:00:00"/>
    <x v="30"/>
  </r>
  <r>
    <s v="TRX0176"/>
    <d v="2024-08-06T00:00:00"/>
    <x v="31"/>
    <x v="31"/>
    <s v="P008"/>
    <s v="Bookshelf"/>
    <x v="1"/>
    <x v="3"/>
    <x v="5"/>
    <x v="2"/>
    <x v="1"/>
    <s v="Standard"/>
    <d v="2022-04-16T00:00:00"/>
    <x v="30"/>
  </r>
  <r>
    <s v="TRX0190"/>
    <d v="2024-10-18T00:00:00"/>
    <x v="12"/>
    <x v="12"/>
    <s v="P003"/>
    <s v="Headphones"/>
    <x v="0"/>
    <x v="3"/>
    <x v="5"/>
    <x v="0"/>
    <x v="2"/>
    <s v="Basic"/>
    <d v="2022-12-21T00:00:00"/>
    <x v="30"/>
  </r>
  <r>
    <s v="TRX0095"/>
    <d v="2024-10-23T00:00:00"/>
    <x v="22"/>
    <x v="22"/>
    <s v="P003"/>
    <s v="Headphones"/>
    <x v="0"/>
    <x v="3"/>
    <x v="5"/>
    <x v="1"/>
    <x v="3"/>
    <s v="Basic"/>
    <d v="2021-10-04T00:00:00"/>
    <x v="30"/>
  </r>
  <r>
    <s v="TRX0109"/>
    <d v="2024-11-08T00:00:00"/>
    <x v="29"/>
    <x v="29"/>
    <s v="P008"/>
    <s v="Bookshelf"/>
    <x v="1"/>
    <x v="3"/>
    <x v="5"/>
    <x v="0"/>
    <x v="2"/>
    <s v="Premium"/>
    <d v="2022-10-14T00:00:00"/>
    <x v="30"/>
  </r>
  <r>
    <s v="TRX0206"/>
    <d v="2024-11-27T00:00:00"/>
    <x v="45"/>
    <x v="45"/>
    <s v="P008"/>
    <s v="Bookshelf"/>
    <x v="1"/>
    <x v="3"/>
    <x v="5"/>
    <x v="3"/>
    <x v="0"/>
    <s v="Standard"/>
    <d v="2023-06-24T00:00:00"/>
    <x v="30"/>
  </r>
  <r>
    <s v="TRX0133"/>
    <d v="2024-12-01T00:00:00"/>
    <x v="2"/>
    <x v="2"/>
    <s v="P003"/>
    <s v="Headphones"/>
    <x v="0"/>
    <x v="3"/>
    <x v="5"/>
    <x v="3"/>
    <x v="0"/>
    <s v="Premium"/>
    <d v="2021-10-06T00:00:00"/>
    <x v="30"/>
  </r>
  <r>
    <s v="TRX0046"/>
    <d v="2024-12-20T00:00:00"/>
    <x v="30"/>
    <x v="30"/>
    <s v="P008"/>
    <s v="Bookshelf"/>
    <x v="1"/>
    <x v="3"/>
    <x v="5"/>
    <x v="3"/>
    <x v="0"/>
    <s v="Basic"/>
    <d v="2023-11-09T00:00:00"/>
    <x v="30"/>
  </r>
  <r>
    <s v="TRX0164"/>
    <d v="2024-12-22T00:00:00"/>
    <x v="45"/>
    <x v="45"/>
    <s v="P003"/>
    <s v="Headphones"/>
    <x v="0"/>
    <x v="3"/>
    <x v="5"/>
    <x v="2"/>
    <x v="2"/>
    <s v="Premium"/>
    <d v="2023-12-20T00:00:00"/>
    <x v="30"/>
  </r>
  <r>
    <s v="TRX0107"/>
    <d v="2025-01-14T00:00:00"/>
    <x v="7"/>
    <x v="7"/>
    <s v="P003"/>
    <s v="Headphones"/>
    <x v="0"/>
    <x v="3"/>
    <x v="5"/>
    <x v="3"/>
    <x v="4"/>
    <s v="Standard"/>
    <d v="2022-12-18T00:00:00"/>
    <x v="30"/>
  </r>
  <r>
    <s v="TRX0118"/>
    <d v="2025-02-17T00:00:00"/>
    <x v="46"/>
    <x v="46"/>
    <s v="P008"/>
    <s v="Bookshelf"/>
    <x v="1"/>
    <x v="3"/>
    <x v="5"/>
    <x v="3"/>
    <x v="0"/>
    <s v="Premium"/>
    <d v="2022-06-16T00:00:00"/>
    <x v="30"/>
  </r>
  <r>
    <s v="TRX0227"/>
    <d v="2025-03-02T00:00:00"/>
    <x v="28"/>
    <x v="28"/>
    <s v="P008"/>
    <s v="Bookshelf"/>
    <x v="1"/>
    <x v="3"/>
    <x v="5"/>
    <x v="3"/>
    <x v="3"/>
    <s v="Basic"/>
    <d v="2023-05-22T00:00:00"/>
    <x v="30"/>
  </r>
  <r>
    <s v="TRX0186"/>
    <d v="2025-03-08T00:00:00"/>
    <x v="12"/>
    <x v="12"/>
    <s v="P008"/>
    <s v="Bookshelf"/>
    <x v="1"/>
    <x v="3"/>
    <x v="5"/>
    <x v="1"/>
    <x v="3"/>
    <s v="Premium"/>
    <d v="2022-03-12T00:00:00"/>
    <x v="30"/>
  </r>
  <r>
    <s v="TRX0003"/>
    <d v="2025-03-21T00:00:00"/>
    <x v="43"/>
    <x v="43"/>
    <s v="P008"/>
    <s v="Bookshelf"/>
    <x v="1"/>
    <x v="3"/>
    <x v="5"/>
    <x v="3"/>
    <x v="2"/>
    <s v="Premium"/>
    <d v="2023-11-03T00:00:00"/>
    <x v="30"/>
  </r>
  <r>
    <s v="TRX0172"/>
    <d v="2024-11-11T00:00:00"/>
    <x v="0"/>
    <x v="0"/>
    <s v="P005"/>
    <s v="Blender"/>
    <x v="2"/>
    <x v="0"/>
    <x v="8"/>
    <x v="1"/>
    <x v="2"/>
    <s v="Premium"/>
    <d v="2022-05-13T00:00:00"/>
    <x v="31"/>
  </r>
  <r>
    <s v="TRX0110"/>
    <d v="2025-01-19T00:00:00"/>
    <x v="36"/>
    <x v="36"/>
    <s v="P005"/>
    <s v="Blender"/>
    <x v="2"/>
    <x v="0"/>
    <x v="8"/>
    <x v="2"/>
    <x v="1"/>
    <s v="Basic"/>
    <d v="2022-03-22T00:00:00"/>
    <x v="31"/>
  </r>
  <r>
    <s v="TRX0011"/>
    <d v="2025-02-08T00:00:00"/>
    <x v="20"/>
    <x v="20"/>
    <s v="P005"/>
    <s v="Blender"/>
    <x v="2"/>
    <x v="0"/>
    <x v="8"/>
    <x v="2"/>
    <x v="3"/>
    <s v="Standard"/>
    <d v="2023-09-08T00:00:00"/>
    <x v="31"/>
  </r>
  <r>
    <s v="TRX0053"/>
    <d v="2025-03-05T00:00:00"/>
    <x v="47"/>
    <x v="47"/>
    <s v="P005"/>
    <s v="Blender"/>
    <x v="2"/>
    <x v="0"/>
    <x v="8"/>
    <x v="3"/>
    <x v="2"/>
    <s v="Premium"/>
    <d v="2023-12-31T00:00:00"/>
    <x v="31"/>
  </r>
  <r>
    <s v="TRX0202"/>
    <d v="2024-05-29T00:00:00"/>
    <x v="42"/>
    <x v="42"/>
    <s v="P010"/>
    <s v="Keyboard"/>
    <x v="0"/>
    <x v="2"/>
    <x v="6"/>
    <x v="1"/>
    <x v="3"/>
    <s v="Premium"/>
    <d v="2023-07-13T00:00:00"/>
    <x v="32"/>
  </r>
  <r>
    <s v="TRX0079"/>
    <d v="2024-10-21T00:00:00"/>
    <x v="12"/>
    <x v="12"/>
    <s v="P010"/>
    <s v="Keyboard"/>
    <x v="0"/>
    <x v="2"/>
    <x v="6"/>
    <x v="1"/>
    <x v="3"/>
    <s v="Basic"/>
    <d v="2021-12-21T00:00:00"/>
    <x v="32"/>
  </r>
  <r>
    <s v="TRX0153"/>
    <d v="2024-10-27T00:00:00"/>
    <x v="14"/>
    <x v="14"/>
    <s v="P010"/>
    <s v="Keyboard"/>
    <x v="0"/>
    <x v="2"/>
    <x v="6"/>
    <x v="0"/>
    <x v="4"/>
    <s v="Standard"/>
    <d v="2022-02-23T00:00:00"/>
    <x v="32"/>
  </r>
  <r>
    <s v="TRX0060"/>
    <d v="2024-11-07T00:00:00"/>
    <x v="6"/>
    <x v="6"/>
    <s v="P010"/>
    <s v="Keyboard"/>
    <x v="0"/>
    <x v="2"/>
    <x v="6"/>
    <x v="0"/>
    <x v="4"/>
    <s v="Premium"/>
    <d v="2021-08-12T00:00:00"/>
    <x v="32"/>
  </r>
  <r>
    <s v="TRX0166"/>
    <d v="2025-01-31T00:00:00"/>
    <x v="30"/>
    <x v="30"/>
    <s v="P010"/>
    <s v="Keyboard"/>
    <x v="0"/>
    <x v="2"/>
    <x v="6"/>
    <x v="2"/>
    <x v="0"/>
    <s v="Premium"/>
    <d v="2024-01-16T00:00:00"/>
    <x v="32"/>
  </r>
  <r>
    <s v="TRX0064"/>
    <d v="2025-04-11T00:00:00"/>
    <x v="38"/>
    <x v="38"/>
    <s v="P010"/>
    <s v="Keyboard"/>
    <x v="0"/>
    <x v="2"/>
    <x v="6"/>
    <x v="2"/>
    <x v="4"/>
    <s v="Premium"/>
    <d v="2022-11-13T00:00:00"/>
    <x v="32"/>
  </r>
  <r>
    <s v="TRX0099"/>
    <d v="2024-09-02T00:00:00"/>
    <x v="44"/>
    <x v="44"/>
    <s v="P009"/>
    <s v="Monitor"/>
    <x v="0"/>
    <x v="4"/>
    <x v="3"/>
    <x v="0"/>
    <x v="2"/>
    <s v="Premium"/>
    <d v="2022-05-04T00:00:00"/>
    <x v="33"/>
  </r>
  <r>
    <s v="TRX0074"/>
    <d v="2024-09-02T00:00:00"/>
    <x v="0"/>
    <x v="0"/>
    <s v="P009"/>
    <s v="Monitor"/>
    <x v="0"/>
    <x v="4"/>
    <x v="3"/>
    <x v="2"/>
    <x v="4"/>
    <s v="Premium"/>
    <d v="2024-02-10T00:00:00"/>
    <x v="33"/>
  </r>
  <r>
    <s v="TRX0090"/>
    <d v="2024-11-09T00:00:00"/>
    <x v="33"/>
    <x v="33"/>
    <s v="P009"/>
    <s v="Monitor"/>
    <x v="0"/>
    <x v="4"/>
    <x v="3"/>
    <x v="0"/>
    <x v="4"/>
    <s v="Premium"/>
    <d v="2022-09-24T00:00:00"/>
    <x v="33"/>
  </r>
  <r>
    <s v="TRX0038"/>
    <d v="2025-03-10T00:00:00"/>
    <x v="42"/>
    <x v="42"/>
    <s v="P009"/>
    <s v="Monitor"/>
    <x v="0"/>
    <x v="4"/>
    <x v="3"/>
    <x v="3"/>
    <x v="4"/>
    <s v="Standard"/>
    <d v="2023-07-10T00:00:00"/>
    <x v="33"/>
  </r>
  <r>
    <s v="TRX0235"/>
    <d v="2024-05-12T00:00:00"/>
    <x v="45"/>
    <x v="45"/>
    <s v="P004"/>
    <s v="Coffee Maker"/>
    <x v="2"/>
    <x v="2"/>
    <x v="7"/>
    <x v="1"/>
    <x v="1"/>
    <s v="Premium"/>
    <d v="2023-03-27T00:00:00"/>
    <x v="34"/>
  </r>
  <r>
    <s v="TRX0021"/>
    <d v="2024-05-23T00:00:00"/>
    <x v="36"/>
    <x v="36"/>
    <s v="P004"/>
    <s v="Coffee Maker"/>
    <x v="2"/>
    <x v="2"/>
    <x v="7"/>
    <x v="3"/>
    <x v="0"/>
    <s v="Basic"/>
    <d v="2023-04-30T00:00:00"/>
    <x v="34"/>
  </r>
  <r>
    <s v="TRX0001"/>
    <d v="2024-08-24T00:00:00"/>
    <x v="12"/>
    <x v="12"/>
    <s v="P004"/>
    <s v="Coffee Maker"/>
    <x v="2"/>
    <x v="2"/>
    <x v="7"/>
    <x v="3"/>
    <x v="3"/>
    <s v="Premium"/>
    <d v="2022-08-06T00:00:00"/>
    <x v="34"/>
  </r>
  <r>
    <s v="TRX0198"/>
    <d v="2024-12-10T00:00:00"/>
    <x v="7"/>
    <x v="7"/>
    <s v="P004"/>
    <s v="Coffee Maker"/>
    <x v="2"/>
    <x v="2"/>
    <x v="7"/>
    <x v="2"/>
    <x v="1"/>
    <s v="Standard"/>
    <d v="2022-08-06T00:00:00"/>
    <x v="34"/>
  </r>
  <r>
    <s v="TRX0187"/>
    <d v="2025-02-13T00:00:00"/>
    <x v="32"/>
    <x v="32"/>
    <s v="P004"/>
    <s v="Coffee Maker"/>
    <x v="2"/>
    <x v="2"/>
    <x v="7"/>
    <x v="3"/>
    <x v="1"/>
    <s v="Premium"/>
    <d v="2021-08-28T00:00:00"/>
    <x v="34"/>
  </r>
  <r>
    <s v="TRX0039"/>
    <d v="2025-04-08T00:00:00"/>
    <x v="27"/>
    <x v="27"/>
    <s v="P004"/>
    <s v="Coffee Maker"/>
    <x v="2"/>
    <x v="2"/>
    <x v="7"/>
    <x v="0"/>
    <x v="4"/>
    <s v="Basic"/>
    <d v="2021-11-11T00:00:00"/>
    <x v="34"/>
  </r>
  <r>
    <s v="TRX0241"/>
    <d v="2024-05-15T00:00:00"/>
    <x v="1"/>
    <x v="1"/>
    <s v="P005"/>
    <s v="Blender"/>
    <x v="2"/>
    <x v="1"/>
    <x v="8"/>
    <x v="2"/>
    <x v="1"/>
    <s v="Standard"/>
    <d v="2022-11-02T00:00:00"/>
    <x v="35"/>
  </r>
  <r>
    <s v="TRX0093"/>
    <d v="2024-06-09T00:00:00"/>
    <x v="48"/>
    <x v="48"/>
    <s v="P005"/>
    <s v="Blender"/>
    <x v="2"/>
    <x v="1"/>
    <x v="8"/>
    <x v="3"/>
    <x v="1"/>
    <s v="Standard"/>
    <d v="2021-08-27T00:00:00"/>
    <x v="35"/>
  </r>
  <r>
    <s v="TRX0136"/>
    <d v="2024-07-09T00:00:00"/>
    <x v="14"/>
    <x v="14"/>
    <s v="P005"/>
    <s v="Blender"/>
    <x v="2"/>
    <x v="1"/>
    <x v="8"/>
    <x v="3"/>
    <x v="0"/>
    <s v="Standard"/>
    <d v="2021-11-09T00:00:00"/>
    <x v="35"/>
  </r>
  <r>
    <s v="TRX0126"/>
    <d v="2025-01-25T00:00:00"/>
    <x v="25"/>
    <x v="25"/>
    <s v="P005"/>
    <s v="Blender"/>
    <x v="2"/>
    <x v="1"/>
    <x v="8"/>
    <x v="2"/>
    <x v="1"/>
    <s v="Standard"/>
    <d v="2022-01-03T00:00:00"/>
    <x v="35"/>
  </r>
  <r>
    <s v="TRX0229"/>
    <d v="2025-02-27T00:00:00"/>
    <x v="46"/>
    <x v="46"/>
    <s v="P005"/>
    <s v="Blender"/>
    <x v="2"/>
    <x v="1"/>
    <x v="8"/>
    <x v="3"/>
    <x v="2"/>
    <s v="Standard"/>
    <d v="2023-05-24T00:00:00"/>
    <x v="35"/>
  </r>
  <r>
    <s v="TRX0129"/>
    <d v="2024-09-29T00:00:00"/>
    <x v="46"/>
    <x v="46"/>
    <s v="P006"/>
    <s v="Office Chair"/>
    <x v="1"/>
    <x v="4"/>
    <x v="4"/>
    <x v="2"/>
    <x v="1"/>
    <s v="Standard"/>
    <d v="2023-01-27T00:00:00"/>
    <x v="36"/>
  </r>
  <r>
    <s v="TRX0115"/>
    <d v="2024-06-16T00:00:00"/>
    <x v="6"/>
    <x v="6"/>
    <s v="P010"/>
    <s v="Keyboard"/>
    <x v="0"/>
    <x v="3"/>
    <x v="6"/>
    <x v="0"/>
    <x v="0"/>
    <s v="Premium"/>
    <d v="2021-10-02T00:00:00"/>
    <x v="37"/>
  </r>
  <r>
    <s v="TRX0007"/>
    <d v="2024-06-26T00:00:00"/>
    <x v="17"/>
    <x v="17"/>
    <s v="P010"/>
    <s v="Keyboard"/>
    <x v="0"/>
    <x v="3"/>
    <x v="6"/>
    <x v="3"/>
    <x v="2"/>
    <s v="Basic"/>
    <d v="2021-08-30T00:00:00"/>
    <x v="37"/>
  </r>
  <r>
    <s v="TRX0096"/>
    <d v="2024-07-01T00:00:00"/>
    <x v="43"/>
    <x v="43"/>
    <s v="P010"/>
    <s v="Keyboard"/>
    <x v="0"/>
    <x v="3"/>
    <x v="6"/>
    <x v="1"/>
    <x v="3"/>
    <s v="Premium"/>
    <d v="2023-12-15T00:00:00"/>
    <x v="37"/>
  </r>
  <r>
    <s v="TRX0157"/>
    <d v="2024-07-28T00:00:00"/>
    <x v="5"/>
    <x v="5"/>
    <s v="P010"/>
    <s v="Keyboard"/>
    <x v="0"/>
    <x v="3"/>
    <x v="6"/>
    <x v="1"/>
    <x v="0"/>
    <s v="Basic"/>
    <d v="2023-02-19T00:00:00"/>
    <x v="37"/>
  </r>
  <r>
    <s v="TRX0140"/>
    <d v="2024-08-18T00:00:00"/>
    <x v="5"/>
    <x v="5"/>
    <s v="P010"/>
    <s v="Keyboard"/>
    <x v="0"/>
    <x v="3"/>
    <x v="6"/>
    <x v="3"/>
    <x v="1"/>
    <s v="Premium"/>
    <d v="2023-02-15T00:00:00"/>
    <x v="37"/>
  </r>
  <r>
    <s v="TRX0211"/>
    <d v="2024-09-13T00:00:00"/>
    <x v="22"/>
    <x v="22"/>
    <s v="P010"/>
    <s v="Keyboard"/>
    <x v="0"/>
    <x v="3"/>
    <x v="6"/>
    <x v="0"/>
    <x v="0"/>
    <s v="Premium"/>
    <d v="2022-03-21T00:00:00"/>
    <x v="37"/>
  </r>
  <r>
    <s v="TRX0056"/>
    <d v="2025-01-03T00:00:00"/>
    <x v="4"/>
    <x v="4"/>
    <s v="P010"/>
    <s v="Keyboard"/>
    <x v="0"/>
    <x v="3"/>
    <x v="6"/>
    <x v="0"/>
    <x v="0"/>
    <s v="Premium"/>
    <d v="2022-01-03T00:00:00"/>
    <x v="37"/>
  </r>
  <r>
    <s v="TRX0069"/>
    <d v="2025-01-31T00:00:00"/>
    <x v="1"/>
    <x v="1"/>
    <s v="P010"/>
    <s v="Keyboard"/>
    <x v="0"/>
    <x v="3"/>
    <x v="6"/>
    <x v="2"/>
    <x v="0"/>
    <s v="Basic"/>
    <d v="2022-08-04T00:00:00"/>
    <x v="37"/>
  </r>
  <r>
    <s v="TRX0196"/>
    <d v="2025-02-16T00:00:00"/>
    <x v="0"/>
    <x v="0"/>
    <s v="P010"/>
    <s v="Keyboard"/>
    <x v="0"/>
    <x v="3"/>
    <x v="6"/>
    <x v="1"/>
    <x v="3"/>
    <s v="Basic"/>
    <d v="2023-11-27T00:00:00"/>
    <x v="37"/>
  </r>
  <r>
    <s v="TRX0233"/>
    <d v="2025-03-07T00:00:00"/>
    <x v="0"/>
    <x v="0"/>
    <s v="P010"/>
    <s v="Keyboard"/>
    <x v="0"/>
    <x v="3"/>
    <x v="6"/>
    <x v="0"/>
    <x v="2"/>
    <s v="Premium"/>
    <d v="2024-01-04T00:00:00"/>
    <x v="37"/>
  </r>
  <r>
    <s v="TRX0250"/>
    <d v="2025-03-30T00:00:00"/>
    <x v="16"/>
    <x v="16"/>
    <s v="P010"/>
    <s v="Keyboard"/>
    <x v="0"/>
    <x v="3"/>
    <x v="6"/>
    <x v="2"/>
    <x v="2"/>
    <s v="Premium"/>
    <d v="2021-11-22T00:00:00"/>
    <x v="37"/>
  </r>
  <r>
    <s v="TRX0103"/>
    <d v="2025-04-11T00:00:00"/>
    <x v="12"/>
    <x v="12"/>
    <s v="P010"/>
    <s v="Keyboard"/>
    <x v="0"/>
    <x v="3"/>
    <x v="6"/>
    <x v="2"/>
    <x v="1"/>
    <s v="Basic"/>
    <d v="2023-06-11T00:00:00"/>
    <x v="37"/>
  </r>
  <r>
    <s v="TRX0139"/>
    <d v="2024-04-17T00:00:00"/>
    <x v="34"/>
    <x v="34"/>
    <s v="P005"/>
    <s v="Blender"/>
    <x v="2"/>
    <x v="2"/>
    <x v="8"/>
    <x v="1"/>
    <x v="0"/>
    <s v="Standard"/>
    <d v="2023-12-02T00:00:00"/>
    <x v="38"/>
  </r>
  <r>
    <s v="TRX0043"/>
    <d v="2024-04-18T00:00:00"/>
    <x v="22"/>
    <x v="22"/>
    <s v="P005"/>
    <s v="Blender"/>
    <x v="2"/>
    <x v="2"/>
    <x v="8"/>
    <x v="3"/>
    <x v="4"/>
    <s v="Premium"/>
    <d v="2023-07-07T00:00:00"/>
    <x v="38"/>
  </r>
  <r>
    <s v="TRX0240"/>
    <d v="2024-04-21T00:00:00"/>
    <x v="28"/>
    <x v="28"/>
    <s v="P005"/>
    <s v="Blender"/>
    <x v="2"/>
    <x v="2"/>
    <x v="8"/>
    <x v="2"/>
    <x v="0"/>
    <s v="Basic"/>
    <d v="2023-03-22T00:00:00"/>
    <x v="38"/>
  </r>
  <r>
    <s v="TRX0185"/>
    <d v="2024-04-26T00:00:00"/>
    <x v="16"/>
    <x v="16"/>
    <s v="P005"/>
    <s v="Blender"/>
    <x v="2"/>
    <x v="2"/>
    <x v="8"/>
    <x v="3"/>
    <x v="2"/>
    <s v="Premium"/>
    <d v="2023-10-08T00:00:00"/>
    <x v="38"/>
  </r>
  <r>
    <s v="TRX0067"/>
    <d v="2024-04-27T00:00:00"/>
    <x v="47"/>
    <x v="47"/>
    <s v="P005"/>
    <s v="Blender"/>
    <x v="2"/>
    <x v="2"/>
    <x v="8"/>
    <x v="0"/>
    <x v="4"/>
    <s v="Standard"/>
    <d v="2024-02-29T00:00:00"/>
    <x v="38"/>
  </r>
  <r>
    <s v="TRX0169"/>
    <d v="2024-07-17T00:00:00"/>
    <x v="3"/>
    <x v="3"/>
    <s v="P005"/>
    <s v="Blender"/>
    <x v="2"/>
    <x v="2"/>
    <x v="8"/>
    <x v="0"/>
    <x v="2"/>
    <s v="Basic"/>
    <d v="2023-07-23T00:00:00"/>
    <x v="38"/>
  </r>
  <r>
    <s v="TRX0100"/>
    <d v="2024-09-06T00:00:00"/>
    <x v="38"/>
    <x v="38"/>
    <s v="P005"/>
    <s v="Blender"/>
    <x v="2"/>
    <x v="2"/>
    <x v="8"/>
    <x v="0"/>
    <x v="3"/>
    <s v="Premium"/>
    <d v="2022-06-05T00:00:00"/>
    <x v="38"/>
  </r>
  <r>
    <s v="TRX0142"/>
    <d v="2024-09-09T00:00:00"/>
    <x v="43"/>
    <x v="43"/>
    <s v="P005"/>
    <s v="Blender"/>
    <x v="2"/>
    <x v="2"/>
    <x v="8"/>
    <x v="1"/>
    <x v="1"/>
    <s v="Standard"/>
    <d v="2022-07-06T00:00:00"/>
    <x v="38"/>
  </r>
  <r>
    <s v="TRX0149"/>
    <d v="2024-11-12T00:00:00"/>
    <x v="19"/>
    <x v="19"/>
    <s v="P005"/>
    <s v="Blender"/>
    <x v="2"/>
    <x v="2"/>
    <x v="8"/>
    <x v="2"/>
    <x v="0"/>
    <s v="Standard"/>
    <d v="2023-11-30T00:00:00"/>
    <x v="38"/>
  </r>
  <r>
    <s v="TRX0082"/>
    <d v="2024-12-09T00:00:00"/>
    <x v="49"/>
    <x v="49"/>
    <s v="P005"/>
    <s v="Blender"/>
    <x v="2"/>
    <x v="2"/>
    <x v="8"/>
    <x v="3"/>
    <x v="3"/>
    <s v="Premium"/>
    <d v="2023-05-06T00:00:00"/>
    <x v="38"/>
  </r>
  <r>
    <s v="TRX0138"/>
    <d v="2024-04-26T00:00:00"/>
    <x v="25"/>
    <x v="25"/>
    <s v="P008"/>
    <s v="Bookshelf"/>
    <x v="1"/>
    <x v="4"/>
    <x v="5"/>
    <x v="0"/>
    <x v="2"/>
    <s v="Standard"/>
    <d v="2023-06-26T00:00:00"/>
    <x v="39"/>
  </r>
  <r>
    <s v="TRX0127"/>
    <d v="2024-06-29T00:00:00"/>
    <x v="7"/>
    <x v="7"/>
    <s v="P008"/>
    <s v="Bookshelf"/>
    <x v="1"/>
    <x v="4"/>
    <x v="5"/>
    <x v="1"/>
    <x v="1"/>
    <s v="Basic"/>
    <d v="2022-10-17T00:00:00"/>
    <x v="39"/>
  </r>
  <r>
    <s v="TRX0086"/>
    <d v="2024-07-08T00:00:00"/>
    <x v="33"/>
    <x v="33"/>
    <s v="P008"/>
    <s v="Bookshelf"/>
    <x v="1"/>
    <x v="4"/>
    <x v="5"/>
    <x v="1"/>
    <x v="4"/>
    <s v="Basic"/>
    <d v="2021-08-13T00:00:00"/>
    <x v="39"/>
  </r>
  <r>
    <s v="TRX0018"/>
    <d v="2024-07-11T00:00:00"/>
    <x v="2"/>
    <x v="2"/>
    <s v="P003"/>
    <s v="Headphones"/>
    <x v="0"/>
    <x v="4"/>
    <x v="5"/>
    <x v="3"/>
    <x v="3"/>
    <s v="Standard"/>
    <d v="2022-12-14T00:00:00"/>
    <x v="39"/>
  </r>
  <r>
    <s v="TRX0111"/>
    <d v="2024-09-19T00:00:00"/>
    <x v="8"/>
    <x v="8"/>
    <s v="P003"/>
    <s v="Headphones"/>
    <x v="0"/>
    <x v="4"/>
    <x v="5"/>
    <x v="1"/>
    <x v="1"/>
    <s v="Standard"/>
    <d v="2021-10-13T00:00:00"/>
    <x v="39"/>
  </r>
  <r>
    <s v="TRX0081"/>
    <d v="2024-12-15T00:00:00"/>
    <x v="40"/>
    <x v="40"/>
    <s v="P008"/>
    <s v="Bookshelf"/>
    <x v="1"/>
    <x v="4"/>
    <x v="5"/>
    <x v="2"/>
    <x v="1"/>
    <s v="Standard"/>
    <d v="2023-10-01T00:00:00"/>
    <x v="39"/>
  </r>
  <r>
    <s v="TRX0092"/>
    <d v="2024-04-21T00:00:00"/>
    <x v="15"/>
    <x v="15"/>
    <s v="P005"/>
    <s v="Blender"/>
    <x v="2"/>
    <x v="3"/>
    <x v="8"/>
    <x v="3"/>
    <x v="2"/>
    <s v="Standard"/>
    <d v="2022-07-04T00:00:00"/>
    <x v="40"/>
  </r>
  <r>
    <s v="TRX0063"/>
    <d v="2024-05-13T00:00:00"/>
    <x v="7"/>
    <x v="7"/>
    <s v="P005"/>
    <s v="Blender"/>
    <x v="2"/>
    <x v="3"/>
    <x v="8"/>
    <x v="2"/>
    <x v="3"/>
    <s v="Standard"/>
    <d v="2023-10-15T00:00:00"/>
    <x v="40"/>
  </r>
  <r>
    <s v="TRX0128"/>
    <d v="2024-06-01T00:00:00"/>
    <x v="20"/>
    <x v="20"/>
    <s v="P005"/>
    <s v="Blender"/>
    <x v="2"/>
    <x v="3"/>
    <x v="8"/>
    <x v="3"/>
    <x v="2"/>
    <s v="Basic"/>
    <d v="2024-04-08T00:00:00"/>
    <x v="40"/>
  </r>
  <r>
    <s v="TRX0006"/>
    <d v="2024-07-25T00:00:00"/>
    <x v="40"/>
    <x v="40"/>
    <s v="P005"/>
    <s v="Blender"/>
    <x v="2"/>
    <x v="3"/>
    <x v="8"/>
    <x v="3"/>
    <x v="4"/>
    <s v="Standard"/>
    <d v="2023-08-14T00:00:00"/>
    <x v="40"/>
  </r>
  <r>
    <s v="TRX0146"/>
    <d v="2024-10-07T00:00:00"/>
    <x v="29"/>
    <x v="29"/>
    <s v="P005"/>
    <s v="Blender"/>
    <x v="2"/>
    <x v="3"/>
    <x v="8"/>
    <x v="0"/>
    <x v="3"/>
    <s v="Basic"/>
    <d v="2022-01-18T00:00:00"/>
    <x v="40"/>
  </r>
  <r>
    <s v="TRX0028"/>
    <d v="2024-12-18T00:00:00"/>
    <x v="43"/>
    <x v="43"/>
    <s v="P005"/>
    <s v="Blender"/>
    <x v="2"/>
    <x v="3"/>
    <x v="8"/>
    <x v="3"/>
    <x v="2"/>
    <s v="Basic"/>
    <d v="2023-09-22T00:00:00"/>
    <x v="40"/>
  </r>
  <r>
    <s v="TRX0014"/>
    <d v="2025-03-18T00:00:00"/>
    <x v="39"/>
    <x v="39"/>
    <s v="P005"/>
    <s v="Blender"/>
    <x v="2"/>
    <x v="3"/>
    <x v="8"/>
    <x v="0"/>
    <x v="2"/>
    <s v="Basic"/>
    <d v="2023-09-24T00:00:00"/>
    <x v="40"/>
  </r>
  <r>
    <s v="TRX0117"/>
    <d v="2024-06-01T00:00:00"/>
    <x v="28"/>
    <x v="28"/>
    <s v="P010"/>
    <s v="Keyboard"/>
    <x v="0"/>
    <x v="4"/>
    <x v="6"/>
    <x v="3"/>
    <x v="4"/>
    <s v="Basic"/>
    <d v="2023-08-03T00:00:00"/>
    <x v="41"/>
  </r>
  <r>
    <s v="TRX0121"/>
    <d v="2024-06-06T00:00:00"/>
    <x v="11"/>
    <x v="11"/>
    <s v="P010"/>
    <s v="Keyboard"/>
    <x v="0"/>
    <x v="4"/>
    <x v="6"/>
    <x v="0"/>
    <x v="0"/>
    <s v="Standard"/>
    <d v="2022-01-21T00:00:00"/>
    <x v="41"/>
  </r>
  <r>
    <s v="TRX0192"/>
    <d v="2024-07-02T00:00:00"/>
    <x v="28"/>
    <x v="28"/>
    <s v="P010"/>
    <s v="Keyboard"/>
    <x v="0"/>
    <x v="4"/>
    <x v="6"/>
    <x v="1"/>
    <x v="2"/>
    <s v="Standard"/>
    <d v="2022-08-29T00:00:00"/>
    <x v="41"/>
  </r>
  <r>
    <s v="TRX0052"/>
    <d v="2024-07-03T00:00:00"/>
    <x v="25"/>
    <x v="25"/>
    <s v="P010"/>
    <s v="Keyboard"/>
    <x v="0"/>
    <x v="4"/>
    <x v="6"/>
    <x v="3"/>
    <x v="0"/>
    <s v="Standard"/>
    <d v="2022-02-19T00:00:00"/>
    <x v="41"/>
  </r>
  <r>
    <s v="TRX0101"/>
    <d v="2024-08-09T00:00:00"/>
    <x v="29"/>
    <x v="29"/>
    <s v="P010"/>
    <s v="Keyboard"/>
    <x v="0"/>
    <x v="4"/>
    <x v="6"/>
    <x v="0"/>
    <x v="4"/>
    <s v="Standard"/>
    <d v="2024-04-11T00:00:00"/>
    <x v="41"/>
  </r>
  <r>
    <s v="TRX0183"/>
    <d v="2024-12-19T00:00:00"/>
    <x v="40"/>
    <x v="40"/>
    <s v="P010"/>
    <s v="Keyboard"/>
    <x v="0"/>
    <x v="4"/>
    <x v="6"/>
    <x v="2"/>
    <x v="3"/>
    <s v="Standard"/>
    <d v="2022-07-18T00:00:00"/>
    <x v="41"/>
  </r>
  <r>
    <s v="TRX0156"/>
    <d v="2024-12-29T00:00:00"/>
    <x v="17"/>
    <x v="17"/>
    <s v="P010"/>
    <s v="Keyboard"/>
    <x v="0"/>
    <x v="4"/>
    <x v="6"/>
    <x v="0"/>
    <x v="0"/>
    <s v="Premium"/>
    <d v="2022-01-30T00:00:00"/>
    <x v="41"/>
  </r>
  <r>
    <s v="TRX0116"/>
    <d v="2025-04-09T00:00:00"/>
    <x v="17"/>
    <x v="17"/>
    <s v="P010"/>
    <s v="Keyboard"/>
    <x v="0"/>
    <x v="4"/>
    <x v="6"/>
    <x v="2"/>
    <x v="1"/>
    <s v="Basic"/>
    <d v="2024-02-24T00:00:00"/>
    <x v="41"/>
  </r>
  <r>
    <s v="TRX0042"/>
    <d v="2024-05-31T00:00:00"/>
    <x v="4"/>
    <x v="4"/>
    <s v="P004"/>
    <s v="Coffee Maker"/>
    <x v="2"/>
    <x v="4"/>
    <x v="7"/>
    <x v="3"/>
    <x v="4"/>
    <s v="Standard"/>
    <d v="2022-12-22T00:00:00"/>
    <x v="42"/>
  </r>
  <r>
    <s v="TRX0078"/>
    <d v="2024-06-26T00:00:00"/>
    <x v="34"/>
    <x v="34"/>
    <s v="P004"/>
    <s v="Coffee Maker"/>
    <x v="2"/>
    <x v="4"/>
    <x v="7"/>
    <x v="1"/>
    <x v="3"/>
    <s v="Premium"/>
    <d v="2024-03-01T00:00:00"/>
    <x v="42"/>
  </r>
  <r>
    <s v="TRX0161"/>
    <d v="2024-09-10T00:00:00"/>
    <x v="28"/>
    <x v="28"/>
    <s v="P004"/>
    <s v="Coffee Maker"/>
    <x v="2"/>
    <x v="4"/>
    <x v="7"/>
    <x v="3"/>
    <x v="2"/>
    <s v="Basic"/>
    <d v="2022-05-12T00:00:00"/>
    <x v="42"/>
  </r>
  <r>
    <s v="TRX0102"/>
    <d v="2025-01-13T00:00:00"/>
    <x v="24"/>
    <x v="24"/>
    <s v="P004"/>
    <s v="Coffee Maker"/>
    <x v="2"/>
    <x v="4"/>
    <x v="7"/>
    <x v="0"/>
    <x v="0"/>
    <s v="Basic"/>
    <d v="2024-01-31T00:00:00"/>
    <x v="42"/>
  </r>
  <r>
    <s v="TRX0061"/>
    <d v="2024-06-17T00:00:00"/>
    <x v="11"/>
    <x v="11"/>
    <s v="P005"/>
    <s v="Blender"/>
    <x v="2"/>
    <x v="4"/>
    <x v="8"/>
    <x v="2"/>
    <x v="2"/>
    <s v="Premium"/>
    <d v="2023-09-21T00:00:00"/>
    <x v="43"/>
  </r>
  <r>
    <s v="TRX0145"/>
    <d v="2024-11-23T00:00:00"/>
    <x v="39"/>
    <x v="39"/>
    <s v="P005"/>
    <s v="Blender"/>
    <x v="2"/>
    <x v="4"/>
    <x v="8"/>
    <x v="2"/>
    <x v="2"/>
    <s v="Standard"/>
    <d v="2021-12-30T00:00:00"/>
    <x v="43"/>
  </r>
  <r>
    <s v="TRX0219"/>
    <d v="2025-02-04T00:00:00"/>
    <x v="35"/>
    <x v="35"/>
    <s v="P005"/>
    <s v="Blender"/>
    <x v="2"/>
    <x v="4"/>
    <x v="8"/>
    <x v="2"/>
    <x v="3"/>
    <s v="Standard"/>
    <d v="2023-04-29T00:00:00"/>
    <x v="43"/>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r>
    <m/>
    <m/>
    <x v="50"/>
    <x v="50"/>
    <m/>
    <m/>
    <x v="3"/>
    <x v="5"/>
    <x v="9"/>
    <x v="4"/>
    <x v="5"/>
    <m/>
    <m/>
    <x v="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106" firstHeaderRow="1" firstDataRow="1" firstDataCol="1"/>
  <pivotFields count="14">
    <pivotField showAll="0"/>
    <pivotField showAll="0"/>
    <pivotField axis="axisRow" showAll="0">
      <items count="52">
        <item x="41"/>
        <item x="43"/>
        <item x="30"/>
        <item x="23"/>
        <item x="49"/>
        <item x="36"/>
        <item x="40"/>
        <item x="10"/>
        <item x="17"/>
        <item x="29"/>
        <item x="8"/>
        <item x="6"/>
        <item x="2"/>
        <item x="45"/>
        <item x="46"/>
        <item x="26"/>
        <item x="28"/>
        <item x="9"/>
        <item x="4"/>
        <item x="33"/>
        <item x="34"/>
        <item x="25"/>
        <item x="0"/>
        <item x="15"/>
        <item x="5"/>
        <item x="16"/>
        <item x="19"/>
        <item x="11"/>
        <item x="1"/>
        <item x="7"/>
        <item x="38"/>
        <item x="18"/>
        <item x="39"/>
        <item x="44"/>
        <item x="42"/>
        <item x="32"/>
        <item x="35"/>
        <item x="21"/>
        <item x="12"/>
        <item x="20"/>
        <item x="13"/>
        <item x="37"/>
        <item x="47"/>
        <item x="31"/>
        <item x="24"/>
        <item x="22"/>
        <item x="3"/>
        <item x="27"/>
        <item x="14"/>
        <item x="48"/>
        <item x="50"/>
        <item t="default"/>
      </items>
    </pivotField>
    <pivotField axis="axisRow" showAll="0">
      <items count="52">
        <item x="35"/>
        <item x="9"/>
        <item x="11"/>
        <item x="44"/>
        <item x="28"/>
        <item x="31"/>
        <item x="4"/>
        <item x="40"/>
        <item x="47"/>
        <item x="15"/>
        <item x="24"/>
        <item x="1"/>
        <item x="26"/>
        <item x="43"/>
        <item x="39"/>
        <item x="19"/>
        <item x="3"/>
        <item x="42"/>
        <item x="7"/>
        <item x="49"/>
        <item x="10"/>
        <item x="41"/>
        <item x="2"/>
        <item x="48"/>
        <item x="16"/>
        <item x="22"/>
        <item x="34"/>
        <item x="12"/>
        <item x="45"/>
        <item x="36"/>
        <item x="33"/>
        <item x="29"/>
        <item x="5"/>
        <item x="30"/>
        <item x="21"/>
        <item x="32"/>
        <item x="6"/>
        <item x="0"/>
        <item x="13"/>
        <item x="14"/>
        <item x="46"/>
        <item x="17"/>
        <item x="37"/>
        <item x="18"/>
        <item x="23"/>
        <item x="20"/>
        <item x="38"/>
        <item x="25"/>
        <item x="27"/>
        <item x="8"/>
        <item x="50"/>
        <item t="default"/>
      </items>
    </pivotField>
    <pivotField showAll="0"/>
    <pivotField showAll="0"/>
    <pivotField showAll="0"/>
    <pivotField showAll="0"/>
    <pivotField showAll="0"/>
    <pivotField showAll="0"/>
    <pivotField showAll="0"/>
    <pivotField showAll="0"/>
    <pivotField showAll="0"/>
    <pivotField dataField="1" showAll="0">
      <items count="46">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44"/>
        <item t="default"/>
      </items>
    </pivotField>
  </pivotFields>
  <rowFields count="2">
    <field x="2"/>
    <field x="3"/>
  </rowFields>
  <rowItems count="103">
    <i>
      <x/>
    </i>
    <i r="1">
      <x v="21"/>
    </i>
    <i>
      <x v="1"/>
    </i>
    <i r="1">
      <x v="13"/>
    </i>
    <i>
      <x v="2"/>
    </i>
    <i r="1">
      <x v="33"/>
    </i>
    <i>
      <x v="3"/>
    </i>
    <i r="1">
      <x v="44"/>
    </i>
    <i>
      <x v="4"/>
    </i>
    <i r="1">
      <x v="19"/>
    </i>
    <i>
      <x v="5"/>
    </i>
    <i r="1">
      <x v="29"/>
    </i>
    <i>
      <x v="6"/>
    </i>
    <i r="1">
      <x v="7"/>
    </i>
    <i>
      <x v="7"/>
    </i>
    <i r="1">
      <x v="20"/>
    </i>
    <i>
      <x v="8"/>
    </i>
    <i r="1">
      <x v="41"/>
    </i>
    <i>
      <x v="9"/>
    </i>
    <i r="1">
      <x v="31"/>
    </i>
    <i>
      <x v="10"/>
    </i>
    <i r="1">
      <x v="49"/>
    </i>
    <i>
      <x v="11"/>
    </i>
    <i r="1">
      <x v="36"/>
    </i>
    <i>
      <x v="12"/>
    </i>
    <i r="1">
      <x v="22"/>
    </i>
    <i>
      <x v="13"/>
    </i>
    <i r="1">
      <x v="28"/>
    </i>
    <i>
      <x v="14"/>
    </i>
    <i r="1">
      <x v="40"/>
    </i>
    <i>
      <x v="15"/>
    </i>
    <i r="1">
      <x v="12"/>
    </i>
    <i>
      <x v="16"/>
    </i>
    <i r="1">
      <x v="4"/>
    </i>
    <i>
      <x v="17"/>
    </i>
    <i r="1">
      <x v="1"/>
    </i>
    <i>
      <x v="18"/>
    </i>
    <i r="1">
      <x v="6"/>
    </i>
    <i>
      <x v="19"/>
    </i>
    <i r="1">
      <x v="30"/>
    </i>
    <i>
      <x v="20"/>
    </i>
    <i r="1">
      <x v="26"/>
    </i>
    <i>
      <x v="21"/>
    </i>
    <i r="1">
      <x v="47"/>
    </i>
    <i>
      <x v="22"/>
    </i>
    <i r="1">
      <x v="37"/>
    </i>
    <i>
      <x v="23"/>
    </i>
    <i r="1">
      <x v="9"/>
    </i>
    <i>
      <x v="24"/>
    </i>
    <i r="1">
      <x v="32"/>
    </i>
    <i>
      <x v="25"/>
    </i>
    <i r="1">
      <x v="24"/>
    </i>
    <i>
      <x v="26"/>
    </i>
    <i r="1">
      <x v="15"/>
    </i>
    <i>
      <x v="27"/>
    </i>
    <i r="1">
      <x v="2"/>
    </i>
    <i>
      <x v="28"/>
    </i>
    <i r="1">
      <x v="11"/>
    </i>
    <i>
      <x v="29"/>
    </i>
    <i r="1">
      <x v="18"/>
    </i>
    <i>
      <x v="30"/>
    </i>
    <i r="1">
      <x v="46"/>
    </i>
    <i>
      <x v="31"/>
    </i>
    <i r="1">
      <x v="43"/>
    </i>
    <i>
      <x v="32"/>
    </i>
    <i r="1">
      <x v="14"/>
    </i>
    <i>
      <x v="33"/>
    </i>
    <i r="1">
      <x v="3"/>
    </i>
    <i>
      <x v="34"/>
    </i>
    <i r="1">
      <x v="17"/>
    </i>
    <i>
      <x v="35"/>
    </i>
    <i r="1">
      <x v="35"/>
    </i>
    <i>
      <x v="36"/>
    </i>
    <i r="1">
      <x/>
    </i>
    <i>
      <x v="37"/>
    </i>
    <i r="1">
      <x v="34"/>
    </i>
    <i>
      <x v="38"/>
    </i>
    <i r="1">
      <x v="27"/>
    </i>
    <i>
      <x v="39"/>
    </i>
    <i r="1">
      <x v="45"/>
    </i>
    <i>
      <x v="40"/>
    </i>
    <i r="1">
      <x v="38"/>
    </i>
    <i>
      <x v="41"/>
    </i>
    <i r="1">
      <x v="42"/>
    </i>
    <i>
      <x v="42"/>
    </i>
    <i r="1">
      <x v="8"/>
    </i>
    <i>
      <x v="43"/>
    </i>
    <i r="1">
      <x v="5"/>
    </i>
    <i>
      <x v="44"/>
    </i>
    <i r="1">
      <x v="10"/>
    </i>
    <i>
      <x v="45"/>
    </i>
    <i r="1">
      <x v="25"/>
    </i>
    <i>
      <x v="46"/>
    </i>
    <i r="1">
      <x v="16"/>
    </i>
    <i>
      <x v="47"/>
    </i>
    <i r="1">
      <x v="48"/>
    </i>
    <i>
      <x v="48"/>
    </i>
    <i r="1">
      <x v="39"/>
    </i>
    <i>
      <x v="49"/>
    </i>
    <i r="1">
      <x v="23"/>
    </i>
    <i>
      <x v="50"/>
    </i>
    <i r="1">
      <x v="50"/>
    </i>
    <i t="grand">
      <x/>
    </i>
  </rowItems>
  <colItems count="1">
    <i/>
  </colItems>
  <dataFields count="1">
    <dataField name="Sum of Total_Amount" fld="13"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D3:E10" firstHeaderRow="1" firstDataRow="1" firstDataCol="1"/>
  <pivotFields count="14">
    <pivotField showAll="0"/>
    <pivotField showAll="0"/>
    <pivotField showAll="0"/>
    <pivotField showAll="0"/>
    <pivotField showAll="0"/>
    <pivotField showAll="0"/>
    <pivotField showAll="0"/>
    <pivotField axis="axisRow" showAll="0">
      <items count="7">
        <item x="4"/>
        <item x="3"/>
        <item x="2"/>
        <item x="1"/>
        <item x="0"/>
        <item x="5"/>
        <item t="default"/>
      </items>
    </pivotField>
    <pivotField dataField="1" showAll="0">
      <items count="11">
        <item x="8"/>
        <item x="7"/>
        <item x="6"/>
        <item x="5"/>
        <item x="4"/>
        <item x="3"/>
        <item x="2"/>
        <item x="1"/>
        <item x="0"/>
        <item x="9"/>
        <item t="default"/>
      </items>
    </pivotField>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Count of Unit_Price" fld="8" subtotal="count" baseField="7" baseItem="0"/>
  </dataFields>
  <formats count="1">
    <format dxfId="4">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
  <location ref="A3:B7" firstHeaderRow="1" firstDataRow="1" firstDataCol="1"/>
  <pivotFields count="14">
    <pivotField showAll="0"/>
    <pivotField showAll="0"/>
    <pivotField showAll="0"/>
    <pivotField showAll="0"/>
    <pivotField showAll="0"/>
    <pivotField showAll="0"/>
    <pivotField axis="axisRow" showAll="0">
      <items count="5">
        <item x="2"/>
        <item x="0"/>
        <item x="1"/>
        <item h="1" x="3"/>
        <item t="default"/>
      </items>
    </pivotField>
    <pivotField showAll="0"/>
    <pivotField showAll="0"/>
    <pivotField showAll="0"/>
    <pivotField showAll="0"/>
    <pivotField showAll="0"/>
    <pivotField showAll="0"/>
    <pivotField dataField="1" showAll="0"/>
  </pivotFields>
  <rowFields count="1">
    <field x="6"/>
  </rowFields>
  <rowItems count="4">
    <i>
      <x/>
    </i>
    <i>
      <x v="1"/>
    </i>
    <i>
      <x v="2"/>
    </i>
    <i t="grand">
      <x/>
    </i>
  </rowItems>
  <colItems count="1">
    <i/>
  </colItems>
  <dataFields count="1">
    <dataField name="Sum of Total_Amount" fld="13" baseField="6" baseItem="0"/>
  </dataFields>
  <formats count="1">
    <format dxfId="5">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8:B35" firstHeaderRow="1" firstDataRow="1" firstDataCol="1"/>
  <pivotFields count="14">
    <pivotField showAll="0"/>
    <pivotField showAll="0"/>
    <pivotField showAll="0"/>
    <pivotField showAll="0"/>
    <pivotField showAll="0"/>
    <pivotField showAll="0"/>
    <pivotField showAll="0"/>
    <pivotField showAll="0"/>
    <pivotField showAll="0"/>
    <pivotField showAll="0">
      <items count="6">
        <item x="3"/>
        <item x="0"/>
        <item x="2"/>
        <item x="1"/>
        <item x="4"/>
        <item t="default"/>
      </items>
    </pivotField>
    <pivotField axis="axisRow" showAll="0">
      <items count="7">
        <item x="3"/>
        <item x="1"/>
        <item x="4"/>
        <item x="0"/>
        <item x="2"/>
        <item x="5"/>
        <item t="default"/>
      </items>
    </pivotField>
    <pivotField showAll="0"/>
    <pivotField showAll="0"/>
    <pivotField dataField="1" showAll="0"/>
  </pivotFields>
  <rowFields count="1">
    <field x="10"/>
  </rowFields>
  <rowItems count="7">
    <i>
      <x/>
    </i>
    <i>
      <x v="1"/>
    </i>
    <i>
      <x v="2"/>
    </i>
    <i>
      <x v="3"/>
    </i>
    <i>
      <x v="4"/>
    </i>
    <i>
      <x v="5"/>
    </i>
    <i t="grand">
      <x/>
    </i>
  </rowItems>
  <colItems count="1">
    <i/>
  </colItems>
  <dataFields count="1">
    <dataField name="Count of Total_Amount" fld="13"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
  <location ref="F17:G24" firstHeaderRow="1" firstDataRow="1" firstDataCol="1"/>
  <pivotFields count="14">
    <pivotField showAll="0"/>
    <pivotField showAll="0"/>
    <pivotField showAll="0"/>
    <pivotField showAll="0"/>
    <pivotField showAll="0"/>
    <pivotField showAll="0"/>
    <pivotField showAll="0"/>
    <pivotField showAll="0"/>
    <pivotField showAll="0"/>
    <pivotField showAll="0"/>
    <pivotField axis="axisRow" showAll="0">
      <items count="7">
        <item x="3"/>
        <item x="1"/>
        <item x="4"/>
        <item x="0"/>
        <item x="2"/>
        <item x="5"/>
        <item t="default"/>
      </items>
    </pivotField>
    <pivotField showAll="0"/>
    <pivotField showAll="0"/>
    <pivotField dataField="1" showAll="0">
      <items count="46">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44"/>
        <item t="default"/>
      </items>
    </pivotField>
  </pivotFields>
  <rowFields count="1">
    <field x="10"/>
  </rowFields>
  <rowItems count="7">
    <i>
      <x/>
    </i>
    <i>
      <x v="1"/>
    </i>
    <i>
      <x v="2"/>
    </i>
    <i>
      <x v="3"/>
    </i>
    <i>
      <x v="4"/>
    </i>
    <i>
      <x v="5"/>
    </i>
    <i t="grand">
      <x/>
    </i>
  </rowItems>
  <colItems count="1">
    <i/>
  </colItems>
  <dataFields count="1">
    <dataField name="Max of Total_Amount" fld="13" subtotal="max" baseField="10" baseItem="0"/>
  </dataFields>
  <formats count="1">
    <format dxfId="6">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8" name="PivotTable4"/>
  </pivotTables>
  <data>
    <tabular pivotCacheId="1">
      <items count="6">
        <i x="3" s="1"/>
        <i x="1" s="1"/>
        <i x="4" s="1"/>
        <i x="0" s="1"/>
        <i x="2"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A2" workbookViewId="0">
      <selection activeCell="A6" sqref="A6"/>
    </sheetView>
  </sheetViews>
  <sheetFormatPr defaultRowHeight="14.4" x14ac:dyDescent="0.3"/>
  <cols>
    <col min="1" max="1" width="78.6640625" customWidth="1"/>
  </cols>
  <sheetData>
    <row r="1" spans="1:25" ht="30" customHeight="1" thickBot="1" x14ac:dyDescent="0.35">
      <c r="A1" s="1" t="s">
        <v>0</v>
      </c>
      <c r="B1" s="2"/>
      <c r="C1" s="2"/>
      <c r="D1" s="2"/>
      <c r="E1" s="2"/>
      <c r="F1" s="2"/>
      <c r="G1" s="2"/>
      <c r="H1" s="2"/>
      <c r="I1" s="2"/>
      <c r="J1" s="2"/>
      <c r="K1" s="2"/>
      <c r="L1" s="2"/>
      <c r="M1" s="2"/>
      <c r="N1" s="2"/>
      <c r="O1" s="2"/>
      <c r="P1" s="2"/>
      <c r="Q1" s="2"/>
      <c r="R1" s="2"/>
      <c r="S1" s="2"/>
      <c r="T1" s="2"/>
      <c r="U1" s="2"/>
      <c r="V1" s="2"/>
      <c r="W1" s="2"/>
      <c r="X1" s="2"/>
      <c r="Y1" s="2"/>
    </row>
    <row r="2" spans="1:25" ht="409.6" thickBot="1" x14ac:dyDescent="0.35">
      <c r="A2" s="3" t="s">
        <v>1</v>
      </c>
      <c r="B2" s="2"/>
      <c r="C2" s="2"/>
      <c r="D2" s="2"/>
      <c r="E2" s="2"/>
      <c r="F2" s="2"/>
      <c r="G2" s="2"/>
      <c r="H2" s="2"/>
      <c r="I2" s="2"/>
      <c r="J2" s="2"/>
      <c r="K2" s="2"/>
      <c r="L2" s="2"/>
      <c r="M2" s="2"/>
      <c r="N2" s="2"/>
      <c r="O2" s="2"/>
      <c r="P2" s="2"/>
      <c r="Q2" s="2"/>
      <c r="R2" s="2"/>
      <c r="S2" s="2"/>
      <c r="T2" s="2"/>
      <c r="U2" s="2"/>
      <c r="V2" s="2"/>
      <c r="W2" s="2"/>
      <c r="X2" s="2"/>
      <c r="Y2" s="2"/>
    </row>
    <row r="3" spans="1:25" ht="15" thickBot="1" x14ac:dyDescent="0.35">
      <c r="A3" s="2"/>
      <c r="B3" s="2"/>
      <c r="C3" s="2"/>
      <c r="D3" s="2"/>
      <c r="E3" s="2"/>
      <c r="F3" s="2"/>
      <c r="G3" s="2"/>
      <c r="H3" s="2"/>
      <c r="I3" s="2"/>
      <c r="J3" s="2"/>
      <c r="K3" s="2"/>
      <c r="L3" s="2"/>
      <c r="M3" s="2"/>
      <c r="N3" s="2"/>
      <c r="O3" s="2"/>
      <c r="P3" s="2"/>
      <c r="Q3" s="2"/>
      <c r="R3" s="2"/>
      <c r="S3" s="2"/>
      <c r="T3" s="2"/>
      <c r="U3" s="2"/>
      <c r="V3" s="2"/>
      <c r="W3" s="2"/>
      <c r="X3" s="2"/>
      <c r="Y3" s="2"/>
    </row>
    <row r="4" spans="1:25" ht="15" thickBot="1" x14ac:dyDescent="0.35">
      <c r="A4" s="2"/>
      <c r="B4" s="2"/>
      <c r="C4" s="2"/>
      <c r="D4" s="2"/>
      <c r="E4" s="2"/>
      <c r="F4" s="2"/>
      <c r="G4" s="2"/>
      <c r="H4" s="2"/>
      <c r="I4" s="2"/>
      <c r="J4" s="2"/>
      <c r="K4" s="2"/>
      <c r="L4" s="2"/>
      <c r="M4" s="2"/>
      <c r="N4" s="2"/>
      <c r="O4" s="2"/>
      <c r="P4" s="2"/>
      <c r="Q4" s="2"/>
      <c r="R4" s="2"/>
      <c r="S4" s="2"/>
      <c r="T4" s="2"/>
      <c r="U4" s="2"/>
      <c r="V4" s="2"/>
      <c r="W4" s="2"/>
      <c r="X4" s="2"/>
      <c r="Y4" s="2"/>
    </row>
    <row r="5" spans="1:25" ht="15" thickBot="1" x14ac:dyDescent="0.35">
      <c r="A5" s="2" t="s">
        <v>405</v>
      </c>
      <c r="B5" s="2"/>
      <c r="C5" s="2"/>
      <c r="D5" s="2"/>
      <c r="E5" s="2"/>
      <c r="F5" s="2"/>
      <c r="G5" s="2"/>
      <c r="H5" s="2"/>
      <c r="I5" s="2"/>
      <c r="J5" s="2"/>
      <c r="K5" s="2"/>
      <c r="L5" s="2"/>
      <c r="M5" s="2"/>
      <c r="N5" s="2"/>
      <c r="O5" s="2"/>
      <c r="P5" s="2"/>
      <c r="Q5" s="2"/>
      <c r="R5" s="2"/>
      <c r="S5" s="2"/>
      <c r="T5" s="2"/>
      <c r="U5" s="2"/>
      <c r="V5" s="2"/>
      <c r="W5" s="2"/>
      <c r="X5" s="2"/>
      <c r="Y5" s="2"/>
    </row>
    <row r="6" spans="1:25" ht="15" thickBot="1" x14ac:dyDescent="0.35">
      <c r="A6" s="2"/>
      <c r="B6" s="2"/>
      <c r="C6" s="2"/>
      <c r="D6" s="2"/>
      <c r="E6" s="2"/>
      <c r="F6" s="2"/>
      <c r="G6" s="2"/>
      <c r="H6" s="2"/>
      <c r="I6" s="2"/>
      <c r="J6" s="2"/>
      <c r="K6" s="2"/>
      <c r="L6" s="2"/>
      <c r="M6" s="2"/>
      <c r="N6" s="2"/>
      <c r="O6" s="2"/>
      <c r="P6" s="2"/>
      <c r="Q6" s="2"/>
      <c r="R6" s="2"/>
      <c r="S6" s="2"/>
      <c r="T6" s="2"/>
      <c r="U6" s="2"/>
      <c r="V6" s="2"/>
      <c r="W6" s="2"/>
      <c r="X6" s="2"/>
      <c r="Y6" s="2"/>
    </row>
    <row r="7" spans="1:25" ht="15" thickBot="1" x14ac:dyDescent="0.35">
      <c r="A7" s="2"/>
      <c r="B7" s="2"/>
      <c r="C7" s="2"/>
      <c r="D7" s="2"/>
      <c r="E7" s="2"/>
      <c r="F7" s="2"/>
      <c r="G7" s="2"/>
      <c r="H7" s="2"/>
      <c r="I7" s="2"/>
      <c r="J7" s="2"/>
      <c r="K7" s="2"/>
      <c r="L7" s="2"/>
      <c r="M7" s="2"/>
      <c r="N7" s="2"/>
      <c r="O7" s="2"/>
      <c r="P7" s="2"/>
      <c r="Q7" s="2"/>
      <c r="R7" s="2"/>
      <c r="S7" s="2"/>
      <c r="T7" s="2"/>
      <c r="U7" s="2"/>
      <c r="V7" s="2"/>
      <c r="W7" s="2"/>
      <c r="X7" s="2"/>
      <c r="Y7" s="2"/>
    </row>
    <row r="8" spans="1:25" ht="15" thickBot="1" x14ac:dyDescent="0.35">
      <c r="A8" s="2"/>
      <c r="B8" s="2"/>
      <c r="C8" s="2"/>
      <c r="D8" s="2"/>
      <c r="E8" s="2"/>
      <c r="F8" s="2"/>
      <c r="G8" s="2"/>
      <c r="H8" s="2"/>
      <c r="I8" s="2"/>
      <c r="J8" s="2"/>
      <c r="K8" s="2"/>
      <c r="L8" s="2"/>
      <c r="M8" s="2"/>
      <c r="N8" s="2"/>
      <c r="O8" s="2"/>
      <c r="P8" s="2"/>
      <c r="Q8" s="2"/>
      <c r="R8" s="2"/>
      <c r="S8" s="2"/>
      <c r="T8" s="2"/>
      <c r="U8" s="2"/>
      <c r="V8" s="2"/>
      <c r="W8" s="2"/>
      <c r="X8" s="2"/>
      <c r="Y8" s="2"/>
    </row>
    <row r="9" spans="1:25" ht="15" thickBot="1" x14ac:dyDescent="0.35">
      <c r="A9" s="2"/>
      <c r="B9" s="2"/>
      <c r="C9" s="2"/>
      <c r="D9" s="2"/>
      <c r="E9" s="2"/>
      <c r="F9" s="2"/>
      <c r="G9" s="2"/>
      <c r="H9" s="2"/>
      <c r="I9" s="2"/>
      <c r="J9" s="2"/>
      <c r="K9" s="2"/>
      <c r="L9" s="2"/>
      <c r="M9" s="2"/>
      <c r="N9" s="2"/>
      <c r="O9" s="2"/>
      <c r="P9" s="2"/>
      <c r="Q9" s="2"/>
      <c r="R9" s="2"/>
      <c r="S9" s="2"/>
      <c r="T9" s="2"/>
      <c r="U9" s="2"/>
      <c r="V9" s="2"/>
      <c r="W9" s="2"/>
      <c r="X9" s="2"/>
      <c r="Y9" s="2"/>
    </row>
    <row r="10" spans="1:25" ht="15" thickBot="1" x14ac:dyDescent="0.35">
      <c r="A10" s="2"/>
      <c r="B10" s="2"/>
      <c r="C10" s="2"/>
      <c r="D10" s="2"/>
      <c r="E10" s="2"/>
      <c r="F10" s="2"/>
      <c r="G10" s="2"/>
      <c r="H10" s="2"/>
      <c r="I10" s="2"/>
      <c r="J10" s="2"/>
      <c r="K10" s="2"/>
      <c r="L10" s="2"/>
      <c r="M10" s="2"/>
      <c r="N10" s="2"/>
      <c r="O10" s="2"/>
      <c r="P10" s="2"/>
      <c r="Q10" s="2"/>
      <c r="R10" s="2"/>
      <c r="S10" s="2"/>
      <c r="T10" s="2"/>
      <c r="U10" s="2"/>
      <c r="V10" s="2"/>
      <c r="W10" s="2"/>
      <c r="X10" s="2"/>
      <c r="Y10" s="2"/>
    </row>
    <row r="11" spans="1:25" ht="15" thickBot="1" x14ac:dyDescent="0.35">
      <c r="A11" s="2"/>
      <c r="B11" s="2"/>
      <c r="C11" s="2"/>
      <c r="D11" s="2"/>
      <c r="E11" s="2"/>
      <c r="F11" s="2"/>
      <c r="G11" s="2"/>
      <c r="H11" s="2"/>
      <c r="I11" s="2"/>
      <c r="J11" s="2"/>
      <c r="K11" s="2"/>
      <c r="L11" s="2"/>
      <c r="M11" s="2"/>
      <c r="N11" s="2"/>
      <c r="O11" s="2"/>
      <c r="P11" s="2"/>
      <c r="Q11" s="2"/>
      <c r="R11" s="2"/>
      <c r="S11" s="2"/>
      <c r="T11" s="2"/>
      <c r="U11" s="2"/>
      <c r="V11" s="2"/>
      <c r="W11" s="2"/>
      <c r="X11" s="2"/>
      <c r="Y11" s="2"/>
    </row>
    <row r="12" spans="1:25" ht="15" thickBot="1" x14ac:dyDescent="0.35">
      <c r="A12" s="2"/>
      <c r="B12" s="2"/>
      <c r="C12" s="2"/>
      <c r="D12" s="2"/>
      <c r="E12" s="2"/>
      <c r="F12" s="2"/>
      <c r="G12" s="2"/>
      <c r="H12" s="2"/>
      <c r="I12" s="2"/>
      <c r="J12" s="2"/>
      <c r="K12" s="2"/>
      <c r="L12" s="2"/>
      <c r="M12" s="2"/>
      <c r="N12" s="2"/>
      <c r="O12" s="2"/>
      <c r="P12" s="2"/>
      <c r="Q12" s="2"/>
      <c r="R12" s="2"/>
      <c r="S12" s="2"/>
      <c r="T12" s="2"/>
      <c r="U12" s="2"/>
      <c r="V12" s="2"/>
      <c r="W12" s="2"/>
      <c r="X12" s="2"/>
      <c r="Y12" s="2"/>
    </row>
    <row r="13" spans="1:25" ht="15" thickBot="1" x14ac:dyDescent="0.35">
      <c r="A13" s="2"/>
      <c r="B13" s="2"/>
      <c r="C13" s="2"/>
      <c r="D13" s="2"/>
      <c r="E13" s="2"/>
      <c r="F13" s="2"/>
      <c r="G13" s="2"/>
      <c r="H13" s="2"/>
      <c r="I13" s="2"/>
      <c r="J13" s="2"/>
      <c r="K13" s="2"/>
      <c r="L13" s="2"/>
      <c r="M13" s="2"/>
      <c r="N13" s="2"/>
      <c r="O13" s="2"/>
      <c r="P13" s="2"/>
      <c r="Q13" s="2"/>
      <c r="R13" s="2"/>
      <c r="S13" s="2"/>
      <c r="T13" s="2"/>
      <c r="U13" s="2"/>
      <c r="V13" s="2"/>
      <c r="W13" s="2"/>
      <c r="X13" s="2"/>
      <c r="Y13" s="2"/>
    </row>
    <row r="14" spans="1:25" ht="15" thickBot="1" x14ac:dyDescent="0.35">
      <c r="A14" s="2"/>
      <c r="B14" s="2"/>
      <c r="C14" s="2"/>
      <c r="D14" s="2"/>
      <c r="E14" s="2"/>
      <c r="F14" s="2"/>
      <c r="G14" s="2"/>
      <c r="H14" s="2"/>
      <c r="I14" s="2"/>
      <c r="J14" s="2"/>
      <c r="K14" s="2"/>
      <c r="L14" s="2"/>
      <c r="M14" s="2"/>
      <c r="N14" s="2"/>
      <c r="O14" s="2"/>
      <c r="P14" s="2"/>
      <c r="Q14" s="2"/>
      <c r="R14" s="2"/>
      <c r="S14" s="2"/>
      <c r="T14" s="2"/>
      <c r="U14" s="2"/>
      <c r="V14" s="2"/>
      <c r="W14" s="2"/>
      <c r="X14" s="2"/>
      <c r="Y14" s="2"/>
    </row>
    <row r="15" spans="1:25" ht="15" thickBot="1" x14ac:dyDescent="0.35">
      <c r="A15" s="2"/>
      <c r="B15" s="2"/>
      <c r="C15" s="2"/>
      <c r="D15" s="2"/>
      <c r="E15" s="2"/>
      <c r="F15" s="2"/>
      <c r="G15" s="2"/>
      <c r="H15" s="2"/>
      <c r="I15" s="2"/>
      <c r="J15" s="2"/>
      <c r="K15" s="2"/>
      <c r="L15" s="2"/>
      <c r="M15" s="2"/>
      <c r="N15" s="2"/>
      <c r="O15" s="2"/>
      <c r="P15" s="2"/>
      <c r="Q15" s="2"/>
      <c r="R15" s="2"/>
      <c r="S15" s="2"/>
      <c r="T15" s="2"/>
      <c r="U15" s="2"/>
      <c r="V15" s="2"/>
      <c r="W15" s="2"/>
      <c r="X15" s="2"/>
      <c r="Y15" s="2"/>
    </row>
    <row r="16" spans="1:25" ht="15" thickBot="1" x14ac:dyDescent="0.35">
      <c r="A16" s="2"/>
      <c r="B16" s="2"/>
      <c r="C16" s="2"/>
      <c r="D16" s="2"/>
      <c r="E16" s="2"/>
      <c r="F16" s="2"/>
      <c r="G16" s="2"/>
      <c r="H16" s="2"/>
      <c r="I16" s="2"/>
      <c r="J16" s="2"/>
      <c r="K16" s="2"/>
      <c r="L16" s="2"/>
      <c r="M16" s="2"/>
      <c r="N16" s="2"/>
      <c r="O16" s="2"/>
      <c r="P16" s="2"/>
      <c r="Q16" s="2"/>
      <c r="R16" s="2"/>
      <c r="S16" s="2"/>
      <c r="T16" s="2"/>
      <c r="U16" s="2"/>
      <c r="V16" s="2"/>
      <c r="W16" s="2"/>
      <c r="X16" s="2"/>
      <c r="Y16" s="2"/>
    </row>
    <row r="17" spans="1:25" ht="15" thickBot="1" x14ac:dyDescent="0.35">
      <c r="A17" s="2"/>
      <c r="B17" s="2"/>
      <c r="C17" s="2"/>
      <c r="D17" s="2"/>
      <c r="E17" s="2"/>
      <c r="F17" s="2"/>
      <c r="G17" s="2"/>
      <c r="H17" s="2"/>
      <c r="I17" s="2"/>
      <c r="J17" s="2"/>
      <c r="K17" s="2"/>
      <c r="L17" s="2"/>
      <c r="M17" s="2"/>
      <c r="N17" s="2"/>
      <c r="O17" s="2"/>
      <c r="P17" s="2"/>
      <c r="Q17" s="2"/>
      <c r="R17" s="2"/>
      <c r="S17" s="2"/>
      <c r="T17" s="2"/>
      <c r="U17" s="2"/>
      <c r="V17" s="2"/>
      <c r="W17" s="2"/>
      <c r="X17" s="2"/>
      <c r="Y17" s="2"/>
    </row>
    <row r="18" spans="1:25" ht="15" thickBot="1" x14ac:dyDescent="0.35">
      <c r="A18" s="2"/>
      <c r="B18" s="2"/>
      <c r="C18" s="2"/>
      <c r="D18" s="2"/>
      <c r="E18" s="2"/>
      <c r="F18" s="2"/>
      <c r="G18" s="2"/>
      <c r="H18" s="2"/>
      <c r="I18" s="2"/>
      <c r="J18" s="2"/>
      <c r="K18" s="2"/>
      <c r="L18" s="2"/>
      <c r="M18" s="2"/>
      <c r="N18" s="2"/>
      <c r="O18" s="2"/>
      <c r="P18" s="2"/>
      <c r="Q18" s="2"/>
      <c r="R18" s="2"/>
      <c r="S18" s="2"/>
      <c r="T18" s="2"/>
      <c r="U18" s="2"/>
      <c r="V18" s="2"/>
      <c r="W18" s="2"/>
      <c r="X18" s="2"/>
      <c r="Y18" s="2"/>
    </row>
    <row r="19" spans="1:25" ht="15" thickBot="1" x14ac:dyDescent="0.35">
      <c r="A19" s="2"/>
      <c r="B19" s="2"/>
      <c r="C19" s="2"/>
      <c r="D19" s="2"/>
      <c r="E19" s="2"/>
      <c r="F19" s="2"/>
      <c r="G19" s="2"/>
      <c r="H19" s="2"/>
      <c r="I19" s="2"/>
      <c r="J19" s="2"/>
      <c r="K19" s="2"/>
      <c r="L19" s="2"/>
      <c r="M19" s="2"/>
      <c r="N19" s="2"/>
      <c r="O19" s="2"/>
      <c r="P19" s="2"/>
      <c r="Q19" s="2"/>
      <c r="R19" s="2"/>
      <c r="S19" s="2"/>
      <c r="T19" s="2"/>
      <c r="U19" s="2"/>
      <c r="V19" s="2"/>
      <c r="W19" s="2"/>
      <c r="X19" s="2"/>
      <c r="Y19" s="2"/>
    </row>
    <row r="20" spans="1:25" ht="15" thickBot="1" x14ac:dyDescent="0.35">
      <c r="A20" s="2"/>
      <c r="B20" s="2"/>
      <c r="C20" s="2"/>
      <c r="D20" s="2"/>
      <c r="E20" s="2"/>
      <c r="F20" s="2"/>
      <c r="G20" s="2"/>
      <c r="H20" s="2"/>
      <c r="I20" s="2"/>
      <c r="J20" s="2"/>
      <c r="K20" s="2"/>
      <c r="L20" s="2"/>
      <c r="M20" s="2"/>
      <c r="N20" s="2"/>
      <c r="O20" s="2"/>
      <c r="P20" s="2"/>
      <c r="Q20" s="2"/>
      <c r="R20" s="2"/>
      <c r="S20" s="2"/>
      <c r="T20" s="2"/>
      <c r="U20" s="2"/>
      <c r="V20" s="2"/>
      <c r="W20" s="2"/>
      <c r="X20" s="2"/>
      <c r="Y20" s="2"/>
    </row>
    <row r="21" spans="1:25" ht="15" thickBot="1" x14ac:dyDescent="0.35">
      <c r="A21" s="2"/>
      <c r="B21" s="2"/>
      <c r="C21" s="2"/>
      <c r="D21" s="2"/>
      <c r="E21" s="2"/>
      <c r="F21" s="2"/>
      <c r="G21" s="2"/>
      <c r="H21" s="2"/>
      <c r="I21" s="2"/>
      <c r="J21" s="2"/>
      <c r="K21" s="2"/>
      <c r="L21" s="2"/>
      <c r="M21" s="2"/>
      <c r="N21" s="2"/>
      <c r="O21" s="2"/>
      <c r="P21" s="2"/>
      <c r="Q21" s="2"/>
      <c r="R21" s="2"/>
      <c r="S21" s="2"/>
      <c r="T21" s="2"/>
      <c r="U21" s="2"/>
      <c r="V21" s="2"/>
      <c r="W21" s="2"/>
      <c r="X21" s="2"/>
      <c r="Y21" s="2"/>
    </row>
    <row r="22" spans="1:25" ht="15" thickBot="1" x14ac:dyDescent="0.35">
      <c r="A22" s="2"/>
      <c r="B22" s="2"/>
      <c r="C22" s="2"/>
      <c r="D22" s="2"/>
      <c r="E22" s="2"/>
      <c r="F22" s="2"/>
      <c r="G22" s="2"/>
      <c r="H22" s="2"/>
      <c r="I22" s="2"/>
      <c r="J22" s="2"/>
      <c r="K22" s="2"/>
      <c r="L22" s="2"/>
      <c r="M22" s="2"/>
      <c r="N22" s="2"/>
      <c r="O22" s="2"/>
      <c r="P22" s="2"/>
      <c r="Q22" s="2"/>
      <c r="R22" s="2"/>
      <c r="S22" s="2"/>
      <c r="T22" s="2"/>
      <c r="U22" s="2"/>
      <c r="V22" s="2"/>
      <c r="W22" s="2"/>
      <c r="X22" s="2"/>
      <c r="Y22" s="2"/>
    </row>
    <row r="23" spans="1:25" ht="15" thickBot="1" x14ac:dyDescent="0.35">
      <c r="A23" s="2"/>
      <c r="B23" s="2"/>
      <c r="C23" s="2"/>
      <c r="D23" s="2"/>
      <c r="E23" s="2"/>
      <c r="F23" s="2"/>
      <c r="G23" s="2"/>
      <c r="H23" s="2"/>
      <c r="I23" s="2"/>
      <c r="J23" s="2"/>
      <c r="K23" s="2"/>
      <c r="L23" s="2"/>
      <c r="M23" s="2"/>
      <c r="N23" s="2"/>
      <c r="O23" s="2"/>
      <c r="P23" s="2"/>
      <c r="Q23" s="2"/>
      <c r="R23" s="2"/>
      <c r="S23" s="2"/>
      <c r="T23" s="2"/>
      <c r="U23" s="2"/>
      <c r="V23" s="2"/>
      <c r="W23" s="2"/>
      <c r="X23" s="2"/>
      <c r="Y23" s="2"/>
    </row>
    <row r="24" spans="1:25" ht="15" thickBot="1" x14ac:dyDescent="0.35">
      <c r="A24" s="2"/>
      <c r="B24" s="2"/>
      <c r="C24" s="2"/>
      <c r="D24" s="2"/>
      <c r="E24" s="2"/>
      <c r="F24" s="2"/>
      <c r="G24" s="2"/>
      <c r="H24" s="2"/>
      <c r="I24" s="2"/>
      <c r="J24" s="2"/>
      <c r="K24" s="2"/>
      <c r="L24" s="2"/>
      <c r="M24" s="2"/>
      <c r="N24" s="2"/>
      <c r="O24" s="2"/>
      <c r="P24" s="2"/>
      <c r="Q24" s="2"/>
      <c r="R24" s="2"/>
      <c r="S24" s="2"/>
      <c r="T24" s="2"/>
      <c r="U24" s="2"/>
      <c r="V24" s="2"/>
      <c r="W24" s="2"/>
      <c r="X24" s="2"/>
      <c r="Y24" s="2"/>
    </row>
    <row r="25" spans="1:25" ht="15" thickBot="1" x14ac:dyDescent="0.35">
      <c r="A25" s="2"/>
      <c r="B25" s="2"/>
      <c r="C25" s="2"/>
      <c r="D25" s="2"/>
      <c r="E25" s="2"/>
      <c r="F25" s="2"/>
      <c r="G25" s="2"/>
      <c r="H25" s="2"/>
      <c r="I25" s="2"/>
      <c r="J25" s="2"/>
      <c r="K25" s="2"/>
      <c r="L25" s="2"/>
      <c r="M25" s="2"/>
      <c r="N25" s="2"/>
      <c r="O25" s="2"/>
      <c r="P25" s="2"/>
      <c r="Q25" s="2"/>
      <c r="R25" s="2"/>
      <c r="S25" s="2"/>
      <c r="T25" s="2"/>
      <c r="U25" s="2"/>
      <c r="V25" s="2"/>
      <c r="W25" s="2"/>
      <c r="X25" s="2"/>
      <c r="Y25" s="2"/>
    </row>
    <row r="26" spans="1:25" ht="15" thickBot="1" x14ac:dyDescent="0.35">
      <c r="A26" s="2"/>
      <c r="B26" s="2"/>
      <c r="C26" s="2"/>
      <c r="D26" s="2"/>
      <c r="E26" s="2"/>
      <c r="F26" s="2"/>
      <c r="G26" s="2"/>
      <c r="H26" s="2"/>
      <c r="I26" s="2"/>
      <c r="J26" s="2"/>
      <c r="K26" s="2"/>
      <c r="L26" s="2"/>
      <c r="M26" s="2"/>
      <c r="N26" s="2"/>
      <c r="O26" s="2"/>
      <c r="P26" s="2"/>
      <c r="Q26" s="2"/>
      <c r="R26" s="2"/>
      <c r="S26" s="2"/>
      <c r="T26" s="2"/>
      <c r="U26" s="2"/>
      <c r="V26" s="2"/>
      <c r="W26" s="2"/>
      <c r="X26" s="2"/>
      <c r="Y26" s="2"/>
    </row>
    <row r="27" spans="1:25" ht="15" thickBot="1" x14ac:dyDescent="0.35">
      <c r="A27" s="2"/>
      <c r="B27" s="2"/>
      <c r="C27" s="2"/>
      <c r="D27" s="2"/>
      <c r="E27" s="2"/>
      <c r="F27" s="2"/>
      <c r="G27" s="2"/>
      <c r="H27" s="2"/>
      <c r="I27" s="2"/>
      <c r="J27" s="2"/>
      <c r="K27" s="2"/>
      <c r="L27" s="2"/>
      <c r="M27" s="2"/>
      <c r="N27" s="2"/>
      <c r="O27" s="2"/>
      <c r="P27" s="2"/>
      <c r="Q27" s="2"/>
      <c r="R27" s="2"/>
      <c r="S27" s="2"/>
      <c r="T27" s="2"/>
      <c r="U27" s="2"/>
      <c r="V27" s="2"/>
      <c r="W27" s="2"/>
      <c r="X27" s="2"/>
      <c r="Y27" s="2"/>
    </row>
    <row r="28" spans="1:25" ht="15" thickBot="1" x14ac:dyDescent="0.35">
      <c r="A28" s="2"/>
      <c r="B28" s="2"/>
      <c r="C28" s="2"/>
      <c r="D28" s="2"/>
      <c r="E28" s="2"/>
      <c r="F28" s="2"/>
      <c r="G28" s="2"/>
      <c r="H28" s="2"/>
      <c r="I28" s="2"/>
      <c r="J28" s="2"/>
      <c r="K28" s="2"/>
      <c r="L28" s="2"/>
      <c r="M28" s="2"/>
      <c r="N28" s="2"/>
      <c r="O28" s="2"/>
      <c r="P28" s="2"/>
      <c r="Q28" s="2"/>
      <c r="R28" s="2"/>
      <c r="S28" s="2"/>
      <c r="T28" s="2"/>
      <c r="U28" s="2"/>
      <c r="V28" s="2"/>
      <c r="W28" s="2"/>
      <c r="X28" s="2"/>
      <c r="Y28" s="2"/>
    </row>
    <row r="29" spans="1:25" ht="15" thickBot="1" x14ac:dyDescent="0.35">
      <c r="A29" s="2"/>
      <c r="B29" s="2"/>
      <c r="C29" s="2"/>
      <c r="D29" s="2"/>
      <c r="E29" s="2"/>
      <c r="F29" s="2"/>
      <c r="G29" s="2"/>
      <c r="H29" s="2"/>
      <c r="I29" s="2"/>
      <c r="J29" s="2"/>
      <c r="K29" s="2"/>
      <c r="L29" s="2"/>
      <c r="M29" s="2"/>
      <c r="N29" s="2"/>
      <c r="O29" s="2"/>
      <c r="P29" s="2"/>
      <c r="Q29" s="2"/>
      <c r="R29" s="2"/>
      <c r="S29" s="2"/>
      <c r="T29" s="2"/>
      <c r="U29" s="2"/>
      <c r="V29" s="2"/>
      <c r="W29" s="2"/>
      <c r="X29" s="2"/>
      <c r="Y29" s="2"/>
    </row>
    <row r="30" spans="1:25" ht="15" thickBot="1" x14ac:dyDescent="0.35">
      <c r="A30" s="2"/>
      <c r="B30" s="2"/>
      <c r="C30" s="2"/>
      <c r="D30" s="2"/>
      <c r="E30" s="2"/>
      <c r="F30" s="2"/>
      <c r="G30" s="2"/>
      <c r="H30" s="2"/>
      <c r="I30" s="2"/>
      <c r="J30" s="2"/>
      <c r="K30" s="2"/>
      <c r="L30" s="2"/>
      <c r="M30" s="2"/>
      <c r="N30" s="2"/>
      <c r="O30" s="2"/>
      <c r="P30" s="2"/>
      <c r="Q30" s="2"/>
      <c r="R30" s="2"/>
      <c r="S30" s="2"/>
      <c r="T30" s="2"/>
      <c r="U30" s="2"/>
      <c r="V30" s="2"/>
      <c r="W30" s="2"/>
      <c r="X30" s="2"/>
      <c r="Y30" s="2"/>
    </row>
    <row r="31" spans="1:25" ht="15" thickBot="1" x14ac:dyDescent="0.35">
      <c r="A31" s="2"/>
      <c r="B31" s="2"/>
      <c r="C31" s="2"/>
      <c r="D31" s="2"/>
      <c r="E31" s="2"/>
      <c r="F31" s="2"/>
      <c r="G31" s="2"/>
      <c r="H31" s="2"/>
      <c r="I31" s="2"/>
      <c r="J31" s="2"/>
      <c r="K31" s="2"/>
      <c r="L31" s="2"/>
      <c r="M31" s="2"/>
      <c r="N31" s="2"/>
      <c r="O31" s="2"/>
      <c r="P31" s="2"/>
      <c r="Q31" s="2"/>
      <c r="R31" s="2"/>
      <c r="S31" s="2"/>
      <c r="T31" s="2"/>
      <c r="U31" s="2"/>
      <c r="V31" s="2"/>
      <c r="W31" s="2"/>
      <c r="X31" s="2"/>
      <c r="Y31" s="2"/>
    </row>
    <row r="32" spans="1:25" ht="15" thickBot="1" x14ac:dyDescent="0.35">
      <c r="A32" s="2"/>
      <c r="B32" s="2"/>
      <c r="C32" s="2"/>
      <c r="D32" s="2"/>
      <c r="E32" s="2"/>
      <c r="F32" s="2"/>
      <c r="G32" s="2"/>
      <c r="H32" s="2"/>
      <c r="I32" s="2"/>
      <c r="J32" s="2"/>
      <c r="K32" s="2"/>
      <c r="L32" s="2"/>
      <c r="M32" s="2"/>
      <c r="N32" s="2"/>
      <c r="O32" s="2"/>
      <c r="P32" s="2"/>
      <c r="Q32" s="2"/>
      <c r="R32" s="2"/>
      <c r="S32" s="2"/>
      <c r="T32" s="2"/>
      <c r="U32" s="2"/>
      <c r="V32" s="2"/>
      <c r="W32" s="2"/>
      <c r="X32" s="2"/>
      <c r="Y32" s="2"/>
    </row>
    <row r="33" spans="1:25" ht="15" thickBot="1" x14ac:dyDescent="0.35">
      <c r="A33" s="2"/>
      <c r="B33" s="2"/>
      <c r="C33" s="2"/>
      <c r="D33" s="2"/>
      <c r="E33" s="2"/>
      <c r="F33" s="2"/>
      <c r="G33" s="2"/>
      <c r="H33" s="2"/>
      <c r="I33" s="2"/>
      <c r="J33" s="2"/>
      <c r="K33" s="2"/>
      <c r="L33" s="2"/>
      <c r="M33" s="2"/>
      <c r="N33" s="2"/>
      <c r="O33" s="2"/>
      <c r="P33" s="2"/>
      <c r="Q33" s="2"/>
      <c r="R33" s="2"/>
      <c r="S33" s="2"/>
      <c r="T33" s="2"/>
      <c r="U33" s="2"/>
      <c r="V33" s="2"/>
      <c r="W33" s="2"/>
      <c r="X33" s="2"/>
      <c r="Y33" s="2"/>
    </row>
    <row r="34" spans="1:25" ht="15" thickBot="1" x14ac:dyDescent="0.35">
      <c r="A34" s="2"/>
      <c r="B34" s="2"/>
      <c r="C34" s="2"/>
      <c r="D34" s="2"/>
      <c r="E34" s="2"/>
      <c r="F34" s="2"/>
      <c r="G34" s="2"/>
      <c r="H34" s="2"/>
      <c r="I34" s="2"/>
      <c r="J34" s="2"/>
      <c r="K34" s="2"/>
      <c r="L34" s="2"/>
      <c r="M34" s="2"/>
      <c r="N34" s="2"/>
      <c r="O34" s="2"/>
      <c r="P34" s="2"/>
      <c r="Q34" s="2"/>
      <c r="R34" s="2"/>
      <c r="S34" s="2"/>
      <c r="T34" s="2"/>
      <c r="U34" s="2"/>
      <c r="V34" s="2"/>
      <c r="W34" s="2"/>
      <c r="X34" s="2"/>
      <c r="Y34" s="2"/>
    </row>
    <row r="35" spans="1:25" ht="15" thickBot="1" x14ac:dyDescent="0.35">
      <c r="A35" s="2"/>
      <c r="B35" s="2"/>
      <c r="C35" s="2"/>
      <c r="D35" s="2"/>
      <c r="E35" s="2"/>
      <c r="F35" s="2"/>
      <c r="G35" s="2"/>
      <c r="H35" s="2"/>
      <c r="I35" s="2"/>
      <c r="J35" s="2"/>
      <c r="K35" s="2"/>
      <c r="L35" s="2"/>
      <c r="M35" s="2"/>
      <c r="N35" s="2"/>
      <c r="O35" s="2"/>
      <c r="P35" s="2"/>
      <c r="Q35" s="2"/>
      <c r="R35" s="2"/>
      <c r="S35" s="2"/>
      <c r="T35" s="2"/>
      <c r="U35" s="2"/>
      <c r="V35" s="2"/>
      <c r="W35" s="2"/>
      <c r="X35" s="2"/>
      <c r="Y35" s="2"/>
    </row>
    <row r="36" spans="1:25" ht="15" thickBot="1" x14ac:dyDescent="0.35">
      <c r="A36" s="2"/>
      <c r="B36" s="2"/>
      <c r="C36" s="2"/>
      <c r="D36" s="2"/>
      <c r="E36" s="2"/>
      <c r="F36" s="2"/>
      <c r="G36" s="2"/>
      <c r="H36" s="2"/>
      <c r="I36" s="2"/>
      <c r="J36" s="2"/>
      <c r="K36" s="2"/>
      <c r="L36" s="2"/>
      <c r="M36" s="2"/>
      <c r="N36" s="2"/>
      <c r="O36" s="2"/>
      <c r="P36" s="2"/>
      <c r="Q36" s="2"/>
      <c r="R36" s="2"/>
      <c r="S36" s="2"/>
      <c r="T36" s="2"/>
      <c r="U36" s="2"/>
      <c r="V36" s="2"/>
      <c r="W36" s="2"/>
      <c r="X36" s="2"/>
      <c r="Y36" s="2"/>
    </row>
    <row r="37" spans="1:25" ht="15" thickBot="1" x14ac:dyDescent="0.35">
      <c r="A37" s="2"/>
      <c r="B37" s="2"/>
      <c r="C37" s="2"/>
      <c r="D37" s="2"/>
      <c r="E37" s="2"/>
      <c r="F37" s="2"/>
      <c r="G37" s="2"/>
      <c r="H37" s="2"/>
      <c r="I37" s="2"/>
      <c r="J37" s="2"/>
      <c r="K37" s="2"/>
      <c r="L37" s="2"/>
      <c r="M37" s="2"/>
      <c r="N37" s="2"/>
      <c r="O37" s="2"/>
      <c r="P37" s="2"/>
      <c r="Q37" s="2"/>
      <c r="R37" s="2"/>
      <c r="S37" s="2"/>
      <c r="T37" s="2"/>
      <c r="U37" s="2"/>
      <c r="V37" s="2"/>
      <c r="W37" s="2"/>
      <c r="X37" s="2"/>
      <c r="Y37" s="2"/>
    </row>
    <row r="38" spans="1:25" ht="15" thickBot="1" x14ac:dyDescent="0.35">
      <c r="A38" s="2"/>
      <c r="B38" s="2"/>
      <c r="C38" s="2"/>
      <c r="D38" s="2"/>
      <c r="E38" s="2"/>
      <c r="F38" s="2"/>
      <c r="G38" s="2"/>
      <c r="H38" s="2"/>
      <c r="I38" s="2"/>
      <c r="J38" s="2"/>
      <c r="K38" s="2"/>
      <c r="L38" s="2"/>
      <c r="M38" s="2"/>
      <c r="N38" s="2"/>
      <c r="O38" s="2"/>
      <c r="P38" s="2"/>
      <c r="Q38" s="2"/>
      <c r="R38" s="2"/>
      <c r="S38" s="2"/>
      <c r="T38" s="2"/>
      <c r="U38" s="2"/>
      <c r="V38" s="2"/>
      <c r="W38" s="2"/>
      <c r="X38" s="2"/>
      <c r="Y38" s="2"/>
    </row>
    <row r="39" spans="1:25" ht="15" thickBot="1" x14ac:dyDescent="0.35">
      <c r="A39" s="2"/>
      <c r="B39" s="2"/>
      <c r="C39" s="2"/>
      <c r="D39" s="2"/>
      <c r="E39" s="2"/>
      <c r="F39" s="2"/>
      <c r="G39" s="2"/>
      <c r="H39" s="2"/>
      <c r="I39" s="2"/>
      <c r="J39" s="2"/>
      <c r="K39" s="2"/>
      <c r="L39" s="2"/>
      <c r="M39" s="2"/>
      <c r="N39" s="2"/>
      <c r="O39" s="2"/>
      <c r="P39" s="2"/>
      <c r="Q39" s="2"/>
      <c r="R39" s="2"/>
      <c r="S39" s="2"/>
      <c r="T39" s="2"/>
      <c r="U39" s="2"/>
      <c r="V39" s="2"/>
      <c r="W39" s="2"/>
      <c r="X39" s="2"/>
      <c r="Y39" s="2"/>
    </row>
    <row r="40" spans="1:25" ht="15" thickBot="1" x14ac:dyDescent="0.35">
      <c r="A40" s="2"/>
      <c r="B40" s="2"/>
      <c r="C40" s="2"/>
      <c r="D40" s="2"/>
      <c r="E40" s="2"/>
      <c r="F40" s="2"/>
      <c r="G40" s="2"/>
      <c r="H40" s="2"/>
      <c r="I40" s="2"/>
      <c r="J40" s="2"/>
      <c r="K40" s="2"/>
      <c r="L40" s="2"/>
      <c r="M40" s="2"/>
      <c r="N40" s="2"/>
      <c r="O40" s="2"/>
      <c r="P40" s="2"/>
      <c r="Q40" s="2"/>
      <c r="R40" s="2"/>
      <c r="S40" s="2"/>
      <c r="T40" s="2"/>
      <c r="U40" s="2"/>
      <c r="V40" s="2"/>
      <c r="W40" s="2"/>
      <c r="X40" s="2"/>
      <c r="Y40" s="2"/>
    </row>
    <row r="41" spans="1:25" ht="15" thickBot="1" x14ac:dyDescent="0.35">
      <c r="A41" s="2"/>
      <c r="B41" s="2"/>
      <c r="C41" s="2"/>
      <c r="D41" s="2"/>
      <c r="E41" s="2"/>
      <c r="F41" s="2"/>
      <c r="G41" s="2"/>
      <c r="H41" s="2"/>
      <c r="I41" s="2"/>
      <c r="J41" s="2"/>
      <c r="K41" s="2"/>
      <c r="L41" s="2"/>
      <c r="M41" s="2"/>
      <c r="N41" s="2"/>
      <c r="O41" s="2"/>
      <c r="P41" s="2"/>
      <c r="Q41" s="2"/>
      <c r="R41" s="2"/>
      <c r="S41" s="2"/>
      <c r="T41" s="2"/>
      <c r="U41" s="2"/>
      <c r="V41" s="2"/>
      <c r="W41" s="2"/>
      <c r="X41" s="2"/>
      <c r="Y41" s="2"/>
    </row>
    <row r="42" spans="1:25" ht="15" thickBot="1" x14ac:dyDescent="0.35">
      <c r="A42" s="2"/>
      <c r="B42" s="2"/>
      <c r="C42" s="2"/>
      <c r="D42" s="2"/>
      <c r="E42" s="2"/>
      <c r="F42" s="2"/>
      <c r="G42" s="2"/>
      <c r="H42" s="2"/>
      <c r="I42" s="2"/>
      <c r="J42" s="2"/>
      <c r="K42" s="2"/>
      <c r="L42" s="2"/>
      <c r="M42" s="2"/>
      <c r="N42" s="2"/>
      <c r="O42" s="2"/>
      <c r="P42" s="2"/>
      <c r="Q42" s="2"/>
      <c r="R42" s="2"/>
      <c r="S42" s="2"/>
      <c r="T42" s="2"/>
      <c r="U42" s="2"/>
      <c r="V42" s="2"/>
      <c r="W42" s="2"/>
      <c r="X42" s="2"/>
      <c r="Y42" s="2"/>
    </row>
    <row r="43" spans="1:25" ht="15" thickBot="1" x14ac:dyDescent="0.35">
      <c r="A43" s="2"/>
      <c r="B43" s="2"/>
      <c r="C43" s="2"/>
      <c r="D43" s="2"/>
      <c r="E43" s="2"/>
      <c r="F43" s="2"/>
      <c r="G43" s="2"/>
      <c r="H43" s="2"/>
      <c r="I43" s="2"/>
      <c r="J43" s="2"/>
      <c r="K43" s="2"/>
      <c r="L43" s="2"/>
      <c r="M43" s="2"/>
      <c r="N43" s="2"/>
      <c r="O43" s="2"/>
      <c r="P43" s="2"/>
      <c r="Q43" s="2"/>
      <c r="R43" s="2"/>
      <c r="S43" s="2"/>
      <c r="T43" s="2"/>
      <c r="U43" s="2"/>
      <c r="V43" s="2"/>
      <c r="W43" s="2"/>
      <c r="X43" s="2"/>
      <c r="Y43" s="2"/>
    </row>
    <row r="44" spans="1:25" ht="15" thickBot="1" x14ac:dyDescent="0.35">
      <c r="A44" s="2"/>
      <c r="B44" s="2"/>
      <c r="C44" s="2"/>
      <c r="D44" s="2"/>
      <c r="E44" s="2"/>
      <c r="F44" s="2"/>
      <c r="G44" s="2"/>
      <c r="H44" s="2"/>
      <c r="I44" s="2"/>
      <c r="J44" s="2"/>
      <c r="K44" s="2"/>
      <c r="L44" s="2"/>
      <c r="M44" s="2"/>
      <c r="N44" s="2"/>
      <c r="O44" s="2"/>
      <c r="P44" s="2"/>
      <c r="Q44" s="2"/>
      <c r="R44" s="2"/>
      <c r="S44" s="2"/>
      <c r="T44" s="2"/>
      <c r="U44" s="2"/>
      <c r="V44" s="2"/>
      <c r="W44" s="2"/>
      <c r="X44" s="2"/>
      <c r="Y44" s="2"/>
    </row>
    <row r="45" spans="1:25" ht="15" thickBot="1" x14ac:dyDescent="0.35">
      <c r="A45" s="2"/>
      <c r="B45" s="2"/>
      <c r="C45" s="2"/>
      <c r="D45" s="2"/>
      <c r="E45" s="2"/>
      <c r="F45" s="2"/>
      <c r="G45" s="2"/>
      <c r="H45" s="2"/>
      <c r="I45" s="2"/>
      <c r="J45" s="2"/>
      <c r="K45" s="2"/>
      <c r="L45" s="2"/>
      <c r="M45" s="2"/>
      <c r="N45" s="2"/>
      <c r="O45" s="2"/>
      <c r="P45" s="2"/>
      <c r="Q45" s="2"/>
      <c r="R45" s="2"/>
      <c r="S45" s="2"/>
      <c r="T45" s="2"/>
      <c r="U45" s="2"/>
      <c r="V45" s="2"/>
      <c r="W45" s="2"/>
      <c r="X45" s="2"/>
      <c r="Y45" s="2"/>
    </row>
    <row r="46" spans="1:25" ht="15" thickBot="1" x14ac:dyDescent="0.35">
      <c r="A46" s="2"/>
      <c r="B46" s="2"/>
      <c r="C46" s="2"/>
      <c r="D46" s="2"/>
      <c r="E46" s="2"/>
      <c r="F46" s="2"/>
      <c r="G46" s="2"/>
      <c r="H46" s="2"/>
      <c r="I46" s="2"/>
      <c r="J46" s="2"/>
      <c r="K46" s="2"/>
      <c r="L46" s="2"/>
      <c r="M46" s="2"/>
      <c r="N46" s="2"/>
      <c r="O46" s="2"/>
      <c r="P46" s="2"/>
      <c r="Q46" s="2"/>
      <c r="R46" s="2"/>
      <c r="S46" s="2"/>
      <c r="T46" s="2"/>
      <c r="U46" s="2"/>
      <c r="V46" s="2"/>
      <c r="W46" s="2"/>
      <c r="X46" s="2"/>
      <c r="Y46" s="2"/>
    </row>
    <row r="47" spans="1:25" ht="15" thickBot="1" x14ac:dyDescent="0.35">
      <c r="A47" s="2"/>
      <c r="B47" s="2"/>
      <c r="C47" s="2"/>
      <c r="D47" s="2"/>
      <c r="E47" s="2"/>
      <c r="F47" s="2"/>
      <c r="G47" s="2"/>
      <c r="H47" s="2"/>
      <c r="I47" s="2"/>
      <c r="J47" s="2"/>
      <c r="K47" s="2"/>
      <c r="L47" s="2"/>
      <c r="M47" s="2"/>
      <c r="N47" s="2"/>
      <c r="O47" s="2"/>
      <c r="P47" s="2"/>
      <c r="Q47" s="2"/>
      <c r="R47" s="2"/>
      <c r="S47" s="2"/>
      <c r="T47" s="2"/>
      <c r="U47" s="2"/>
      <c r="V47" s="2"/>
      <c r="W47" s="2"/>
      <c r="X47" s="2"/>
      <c r="Y47" s="2"/>
    </row>
    <row r="48" spans="1:25" ht="15" thickBot="1" x14ac:dyDescent="0.35">
      <c r="A48" s="2"/>
      <c r="B48" s="2"/>
      <c r="C48" s="2"/>
      <c r="D48" s="2"/>
      <c r="E48" s="2"/>
      <c r="F48" s="2"/>
      <c r="G48" s="2"/>
      <c r="H48" s="2"/>
      <c r="I48" s="2"/>
      <c r="J48" s="2"/>
      <c r="K48" s="2"/>
      <c r="L48" s="2"/>
      <c r="M48" s="2"/>
      <c r="N48" s="2"/>
      <c r="O48" s="2"/>
      <c r="P48" s="2"/>
      <c r="Q48" s="2"/>
      <c r="R48" s="2"/>
      <c r="S48" s="2"/>
      <c r="T48" s="2"/>
      <c r="U48" s="2"/>
      <c r="V48" s="2"/>
      <c r="W48" s="2"/>
      <c r="X48" s="2"/>
      <c r="Y48" s="2"/>
    </row>
    <row r="49" spans="1:25" ht="15" thickBot="1" x14ac:dyDescent="0.35">
      <c r="A49" s="2"/>
      <c r="B49" s="2"/>
      <c r="C49" s="2"/>
      <c r="D49" s="2"/>
      <c r="E49" s="2"/>
      <c r="F49" s="2"/>
      <c r="G49" s="2"/>
      <c r="H49" s="2"/>
      <c r="I49" s="2"/>
      <c r="J49" s="2"/>
      <c r="K49" s="2"/>
      <c r="L49" s="2"/>
      <c r="M49" s="2"/>
      <c r="N49" s="2"/>
      <c r="O49" s="2"/>
      <c r="P49" s="2"/>
      <c r="Q49" s="2"/>
      <c r="R49" s="2"/>
      <c r="S49" s="2"/>
      <c r="T49" s="2"/>
      <c r="U49" s="2"/>
      <c r="V49" s="2"/>
      <c r="W49" s="2"/>
      <c r="X49" s="2"/>
      <c r="Y49" s="2"/>
    </row>
    <row r="50" spans="1:25" ht="15" thickBot="1" x14ac:dyDescent="0.35">
      <c r="A50" s="2"/>
      <c r="B50" s="2"/>
      <c r="C50" s="2"/>
      <c r="D50" s="2"/>
      <c r="E50" s="2"/>
      <c r="F50" s="2"/>
      <c r="G50" s="2"/>
      <c r="H50" s="2"/>
      <c r="I50" s="2"/>
      <c r="J50" s="2"/>
      <c r="K50" s="2"/>
      <c r="L50" s="2"/>
      <c r="M50" s="2"/>
      <c r="N50" s="2"/>
      <c r="O50" s="2"/>
      <c r="P50" s="2"/>
      <c r="Q50" s="2"/>
      <c r="R50" s="2"/>
      <c r="S50" s="2"/>
      <c r="T50" s="2"/>
      <c r="U50" s="2"/>
      <c r="V50" s="2"/>
      <c r="W50" s="2"/>
      <c r="X50" s="2"/>
      <c r="Y50" s="2"/>
    </row>
    <row r="51" spans="1:25" ht="15" thickBot="1" x14ac:dyDescent="0.35">
      <c r="A51" s="2"/>
      <c r="B51" s="2"/>
      <c r="C51" s="2"/>
      <c r="D51" s="2"/>
      <c r="E51" s="2"/>
      <c r="F51" s="2"/>
      <c r="G51" s="2"/>
      <c r="H51" s="2"/>
      <c r="I51" s="2"/>
      <c r="J51" s="2"/>
      <c r="K51" s="2"/>
      <c r="L51" s="2"/>
      <c r="M51" s="2"/>
      <c r="N51" s="2"/>
      <c r="O51" s="2"/>
      <c r="P51" s="2"/>
      <c r="Q51" s="2"/>
      <c r="R51" s="2"/>
      <c r="S51" s="2"/>
      <c r="T51" s="2"/>
      <c r="U51" s="2"/>
      <c r="V51" s="2"/>
      <c r="W51" s="2"/>
      <c r="X51" s="2"/>
      <c r="Y51" s="2"/>
    </row>
    <row r="52" spans="1:25" ht="15" thickBot="1" x14ac:dyDescent="0.35">
      <c r="A52" s="2"/>
      <c r="B52" s="2"/>
      <c r="C52" s="2"/>
      <c r="D52" s="2"/>
      <c r="E52" s="2"/>
      <c r="F52" s="2"/>
      <c r="G52" s="2"/>
      <c r="H52" s="2"/>
      <c r="I52" s="2"/>
      <c r="J52" s="2"/>
      <c r="K52" s="2"/>
      <c r="L52" s="2"/>
      <c r="M52" s="2"/>
      <c r="N52" s="2"/>
      <c r="O52" s="2"/>
      <c r="P52" s="2"/>
      <c r="Q52" s="2"/>
      <c r="R52" s="2"/>
      <c r="S52" s="2"/>
      <c r="T52" s="2"/>
      <c r="U52" s="2"/>
      <c r="V52" s="2"/>
      <c r="W52" s="2"/>
      <c r="X52" s="2"/>
      <c r="Y52" s="2"/>
    </row>
    <row r="53" spans="1:25" ht="15" thickBot="1" x14ac:dyDescent="0.35">
      <c r="A53" s="2"/>
      <c r="B53" s="2"/>
      <c r="C53" s="2"/>
      <c r="D53" s="2"/>
      <c r="E53" s="2"/>
      <c r="F53" s="2"/>
      <c r="G53" s="2"/>
      <c r="H53" s="2"/>
      <c r="I53" s="2"/>
      <c r="J53" s="2"/>
      <c r="K53" s="2"/>
      <c r="L53" s="2"/>
      <c r="M53" s="2"/>
      <c r="N53" s="2"/>
      <c r="O53" s="2"/>
      <c r="P53" s="2"/>
      <c r="Q53" s="2"/>
      <c r="R53" s="2"/>
      <c r="S53" s="2"/>
      <c r="T53" s="2"/>
      <c r="U53" s="2"/>
      <c r="V53" s="2"/>
      <c r="W53" s="2"/>
      <c r="X53" s="2"/>
      <c r="Y53" s="2"/>
    </row>
    <row r="54" spans="1:25" ht="15" thickBot="1" x14ac:dyDescent="0.35">
      <c r="A54" s="2"/>
      <c r="B54" s="2"/>
      <c r="C54" s="2"/>
      <c r="D54" s="2"/>
      <c r="E54" s="2"/>
      <c r="F54" s="2"/>
      <c r="G54" s="2"/>
      <c r="H54" s="2"/>
      <c r="I54" s="2"/>
      <c r="J54" s="2"/>
      <c r="K54" s="2"/>
      <c r="L54" s="2"/>
      <c r="M54" s="2"/>
      <c r="N54" s="2"/>
      <c r="O54" s="2"/>
      <c r="P54" s="2"/>
      <c r="Q54" s="2"/>
      <c r="R54" s="2"/>
      <c r="S54" s="2"/>
      <c r="T54" s="2"/>
      <c r="U54" s="2"/>
      <c r="V54" s="2"/>
      <c r="W54" s="2"/>
      <c r="X54" s="2"/>
      <c r="Y54" s="2"/>
    </row>
    <row r="55" spans="1:25" ht="15" thickBot="1" x14ac:dyDescent="0.35">
      <c r="A55" s="2"/>
      <c r="B55" s="2"/>
      <c r="C55" s="2"/>
      <c r="D55" s="2"/>
      <c r="E55" s="2"/>
      <c r="F55" s="2"/>
      <c r="G55" s="2"/>
      <c r="H55" s="2"/>
      <c r="I55" s="2"/>
      <c r="J55" s="2"/>
      <c r="K55" s="2"/>
      <c r="L55" s="2"/>
      <c r="M55" s="2"/>
      <c r="N55" s="2"/>
      <c r="O55" s="2"/>
      <c r="P55" s="2"/>
      <c r="Q55" s="2"/>
      <c r="R55" s="2"/>
      <c r="S55" s="2"/>
      <c r="T55" s="2"/>
      <c r="U55" s="2"/>
      <c r="V55" s="2"/>
      <c r="W55" s="2"/>
      <c r="X55" s="2"/>
      <c r="Y55" s="2"/>
    </row>
    <row r="56" spans="1:25" ht="15" thickBot="1" x14ac:dyDescent="0.35">
      <c r="A56" s="2"/>
      <c r="B56" s="2"/>
      <c r="C56" s="2"/>
      <c r="D56" s="2"/>
      <c r="E56" s="2"/>
      <c r="F56" s="2"/>
      <c r="G56" s="2"/>
      <c r="H56" s="2"/>
      <c r="I56" s="2"/>
      <c r="J56" s="2"/>
      <c r="K56" s="2"/>
      <c r="L56" s="2"/>
      <c r="M56" s="2"/>
      <c r="N56" s="2"/>
      <c r="O56" s="2"/>
      <c r="P56" s="2"/>
      <c r="Q56" s="2"/>
      <c r="R56" s="2"/>
      <c r="S56" s="2"/>
      <c r="T56" s="2"/>
      <c r="U56" s="2"/>
      <c r="V56" s="2"/>
      <c r="W56" s="2"/>
      <c r="X56" s="2"/>
      <c r="Y56" s="2"/>
    </row>
    <row r="57" spans="1:25" ht="15" thickBot="1" x14ac:dyDescent="0.35">
      <c r="A57" s="2"/>
      <c r="B57" s="2"/>
      <c r="C57" s="2"/>
      <c r="D57" s="2"/>
      <c r="E57" s="2"/>
      <c r="F57" s="2"/>
      <c r="G57" s="2"/>
      <c r="H57" s="2"/>
      <c r="I57" s="2"/>
      <c r="J57" s="2"/>
      <c r="K57" s="2"/>
      <c r="L57" s="2"/>
      <c r="M57" s="2"/>
      <c r="N57" s="2"/>
      <c r="O57" s="2"/>
      <c r="P57" s="2"/>
      <c r="Q57" s="2"/>
      <c r="R57" s="2"/>
      <c r="S57" s="2"/>
      <c r="T57" s="2"/>
      <c r="U57" s="2"/>
      <c r="V57" s="2"/>
      <c r="W57" s="2"/>
      <c r="X57" s="2"/>
      <c r="Y57" s="2"/>
    </row>
    <row r="58" spans="1:25" ht="15" thickBot="1" x14ac:dyDescent="0.35">
      <c r="A58" s="2"/>
      <c r="B58" s="2"/>
      <c r="C58" s="2"/>
      <c r="D58" s="2"/>
      <c r="E58" s="2"/>
      <c r="F58" s="2"/>
      <c r="G58" s="2"/>
      <c r="H58" s="2"/>
      <c r="I58" s="2"/>
      <c r="J58" s="2"/>
      <c r="K58" s="2"/>
      <c r="L58" s="2"/>
      <c r="M58" s="2"/>
      <c r="N58" s="2"/>
      <c r="O58" s="2"/>
      <c r="P58" s="2"/>
      <c r="Q58" s="2"/>
      <c r="R58" s="2"/>
      <c r="S58" s="2"/>
      <c r="T58" s="2"/>
      <c r="U58" s="2"/>
      <c r="V58" s="2"/>
      <c r="W58" s="2"/>
      <c r="X58" s="2"/>
      <c r="Y58" s="2"/>
    </row>
    <row r="59" spans="1:25" ht="15" thickBot="1" x14ac:dyDescent="0.35">
      <c r="A59" s="2"/>
      <c r="B59" s="2"/>
      <c r="C59" s="2"/>
      <c r="D59" s="2"/>
      <c r="E59" s="2"/>
      <c r="F59" s="2"/>
      <c r="G59" s="2"/>
      <c r="H59" s="2"/>
      <c r="I59" s="2"/>
      <c r="J59" s="2"/>
      <c r="K59" s="2"/>
      <c r="L59" s="2"/>
      <c r="M59" s="2"/>
      <c r="N59" s="2"/>
      <c r="O59" s="2"/>
      <c r="P59" s="2"/>
      <c r="Q59" s="2"/>
      <c r="R59" s="2"/>
      <c r="S59" s="2"/>
      <c r="T59" s="2"/>
      <c r="U59" s="2"/>
      <c r="V59" s="2"/>
      <c r="W59" s="2"/>
      <c r="X59" s="2"/>
      <c r="Y59" s="2"/>
    </row>
    <row r="60" spans="1:25" ht="15" thickBot="1" x14ac:dyDescent="0.35">
      <c r="A60" s="2"/>
      <c r="B60" s="2"/>
      <c r="C60" s="2"/>
      <c r="D60" s="2"/>
      <c r="E60" s="2"/>
      <c r="F60" s="2"/>
      <c r="G60" s="2"/>
      <c r="H60" s="2"/>
      <c r="I60" s="2"/>
      <c r="J60" s="2"/>
      <c r="K60" s="2"/>
      <c r="L60" s="2"/>
      <c r="M60" s="2"/>
      <c r="N60" s="2"/>
      <c r="O60" s="2"/>
      <c r="P60" s="2"/>
      <c r="Q60" s="2"/>
      <c r="R60" s="2"/>
      <c r="S60" s="2"/>
      <c r="T60" s="2"/>
      <c r="U60" s="2"/>
      <c r="V60" s="2"/>
      <c r="W60" s="2"/>
      <c r="X60" s="2"/>
      <c r="Y60" s="2"/>
    </row>
    <row r="61" spans="1:25" ht="15" thickBot="1" x14ac:dyDescent="0.35">
      <c r="A61" s="2"/>
      <c r="B61" s="2"/>
      <c r="C61" s="2"/>
      <c r="D61" s="2"/>
      <c r="E61" s="2"/>
      <c r="F61" s="2"/>
      <c r="G61" s="2"/>
      <c r="H61" s="2"/>
      <c r="I61" s="2"/>
      <c r="J61" s="2"/>
      <c r="K61" s="2"/>
      <c r="L61" s="2"/>
      <c r="M61" s="2"/>
      <c r="N61" s="2"/>
      <c r="O61" s="2"/>
      <c r="P61" s="2"/>
      <c r="Q61" s="2"/>
      <c r="R61" s="2"/>
      <c r="S61" s="2"/>
      <c r="T61" s="2"/>
      <c r="U61" s="2"/>
      <c r="V61" s="2"/>
      <c r="W61" s="2"/>
      <c r="X61" s="2"/>
      <c r="Y61" s="2"/>
    </row>
    <row r="62" spans="1:25" ht="15" thickBot="1" x14ac:dyDescent="0.35">
      <c r="A62" s="2"/>
      <c r="B62" s="2"/>
      <c r="C62" s="2"/>
      <c r="D62" s="2"/>
      <c r="E62" s="2"/>
      <c r="F62" s="2"/>
      <c r="G62" s="2"/>
      <c r="H62" s="2"/>
      <c r="I62" s="2"/>
      <c r="J62" s="2"/>
      <c r="K62" s="2"/>
      <c r="L62" s="2"/>
      <c r="M62" s="2"/>
      <c r="N62" s="2"/>
      <c r="O62" s="2"/>
      <c r="P62" s="2"/>
      <c r="Q62" s="2"/>
      <c r="R62" s="2"/>
      <c r="S62" s="2"/>
      <c r="T62" s="2"/>
      <c r="U62" s="2"/>
      <c r="V62" s="2"/>
      <c r="W62" s="2"/>
      <c r="X62" s="2"/>
      <c r="Y62" s="2"/>
    </row>
    <row r="63" spans="1:25" ht="15" thickBot="1" x14ac:dyDescent="0.35">
      <c r="A63" s="2"/>
      <c r="B63" s="2"/>
      <c r="C63" s="2"/>
      <c r="D63" s="2"/>
      <c r="E63" s="2"/>
      <c r="F63" s="2"/>
      <c r="G63" s="2"/>
      <c r="H63" s="2"/>
      <c r="I63" s="2"/>
      <c r="J63" s="2"/>
      <c r="K63" s="2"/>
      <c r="L63" s="2"/>
      <c r="M63" s="2"/>
      <c r="N63" s="2"/>
      <c r="O63" s="2"/>
      <c r="P63" s="2"/>
      <c r="Q63" s="2"/>
      <c r="R63" s="2"/>
      <c r="S63" s="2"/>
      <c r="T63" s="2"/>
      <c r="U63" s="2"/>
      <c r="V63" s="2"/>
      <c r="W63" s="2"/>
      <c r="X63" s="2"/>
      <c r="Y63" s="2"/>
    </row>
    <row r="64" spans="1:25" ht="15" thickBot="1" x14ac:dyDescent="0.35">
      <c r="A64" s="2"/>
      <c r="B64" s="2"/>
      <c r="C64" s="2"/>
      <c r="D64" s="2"/>
      <c r="E64" s="2"/>
      <c r="F64" s="2"/>
      <c r="G64" s="2"/>
      <c r="H64" s="2"/>
      <c r="I64" s="2"/>
      <c r="J64" s="2"/>
      <c r="K64" s="2"/>
      <c r="L64" s="2"/>
      <c r="M64" s="2"/>
      <c r="N64" s="2"/>
      <c r="O64" s="2"/>
      <c r="P64" s="2"/>
      <c r="Q64" s="2"/>
      <c r="R64" s="2"/>
      <c r="S64" s="2"/>
      <c r="T64" s="2"/>
      <c r="U64" s="2"/>
      <c r="V64" s="2"/>
      <c r="W64" s="2"/>
      <c r="X64" s="2"/>
      <c r="Y64" s="2"/>
    </row>
    <row r="65" spans="1:25" ht="15" thickBot="1" x14ac:dyDescent="0.35">
      <c r="A65" s="2"/>
      <c r="B65" s="2"/>
      <c r="C65" s="2"/>
      <c r="D65" s="2"/>
      <c r="E65" s="2"/>
      <c r="F65" s="2"/>
      <c r="G65" s="2"/>
      <c r="H65" s="2"/>
      <c r="I65" s="2"/>
      <c r="J65" s="2"/>
      <c r="K65" s="2"/>
      <c r="L65" s="2"/>
      <c r="M65" s="2"/>
      <c r="N65" s="2"/>
      <c r="O65" s="2"/>
      <c r="P65" s="2"/>
      <c r="Q65" s="2"/>
      <c r="R65" s="2"/>
      <c r="S65" s="2"/>
      <c r="T65" s="2"/>
      <c r="U65" s="2"/>
      <c r="V65" s="2"/>
      <c r="W65" s="2"/>
      <c r="X65" s="2"/>
      <c r="Y65" s="2"/>
    </row>
    <row r="66" spans="1:25" ht="15" thickBot="1" x14ac:dyDescent="0.35">
      <c r="A66" s="2"/>
      <c r="B66" s="2"/>
      <c r="C66" s="2"/>
      <c r="D66" s="2"/>
      <c r="E66" s="2"/>
      <c r="F66" s="2"/>
      <c r="G66" s="2"/>
      <c r="H66" s="2"/>
      <c r="I66" s="2"/>
      <c r="J66" s="2"/>
      <c r="K66" s="2"/>
      <c r="L66" s="2"/>
      <c r="M66" s="2"/>
      <c r="N66" s="2"/>
      <c r="O66" s="2"/>
      <c r="P66" s="2"/>
      <c r="Q66" s="2"/>
      <c r="R66" s="2"/>
      <c r="S66" s="2"/>
      <c r="T66" s="2"/>
      <c r="U66" s="2"/>
      <c r="V66" s="2"/>
      <c r="W66" s="2"/>
      <c r="X66" s="2"/>
      <c r="Y66" s="2"/>
    </row>
    <row r="67" spans="1:25" ht="15" thickBot="1" x14ac:dyDescent="0.35">
      <c r="A67" s="2"/>
      <c r="B67" s="2"/>
      <c r="C67" s="2"/>
      <c r="D67" s="2"/>
      <c r="E67" s="2"/>
      <c r="F67" s="2"/>
      <c r="G67" s="2"/>
      <c r="H67" s="2"/>
      <c r="I67" s="2"/>
      <c r="J67" s="2"/>
      <c r="K67" s="2"/>
      <c r="L67" s="2"/>
      <c r="M67" s="2"/>
      <c r="N67" s="2"/>
      <c r="O67" s="2"/>
      <c r="P67" s="2"/>
      <c r="Q67" s="2"/>
      <c r="R67" s="2"/>
      <c r="S67" s="2"/>
      <c r="T67" s="2"/>
      <c r="U67" s="2"/>
      <c r="V67" s="2"/>
      <c r="W67" s="2"/>
      <c r="X67" s="2"/>
      <c r="Y67" s="2"/>
    </row>
    <row r="68" spans="1:25" ht="15" thickBot="1" x14ac:dyDescent="0.35">
      <c r="A68" s="2"/>
      <c r="B68" s="2"/>
      <c r="C68" s="2"/>
      <c r="D68" s="2"/>
      <c r="E68" s="2"/>
      <c r="F68" s="2"/>
      <c r="G68" s="2"/>
      <c r="H68" s="2"/>
      <c r="I68" s="2"/>
      <c r="J68" s="2"/>
      <c r="K68" s="2"/>
      <c r="L68" s="2"/>
      <c r="M68" s="2"/>
      <c r="N68" s="2"/>
      <c r="O68" s="2"/>
      <c r="P68" s="2"/>
      <c r="Q68" s="2"/>
      <c r="R68" s="2"/>
      <c r="S68" s="2"/>
      <c r="T68" s="2"/>
      <c r="U68" s="2"/>
      <c r="V68" s="2"/>
      <c r="W68" s="2"/>
      <c r="X68" s="2"/>
      <c r="Y68" s="2"/>
    </row>
    <row r="69" spans="1:25" ht="15" thickBot="1" x14ac:dyDescent="0.35">
      <c r="A69" s="2"/>
      <c r="B69" s="2"/>
      <c r="C69" s="2"/>
      <c r="D69" s="2"/>
      <c r="E69" s="2"/>
      <c r="F69" s="2"/>
      <c r="G69" s="2"/>
      <c r="H69" s="2"/>
      <c r="I69" s="2"/>
      <c r="J69" s="2"/>
      <c r="K69" s="2"/>
      <c r="L69" s="2"/>
      <c r="M69" s="2"/>
      <c r="N69" s="2"/>
      <c r="O69" s="2"/>
      <c r="P69" s="2"/>
      <c r="Q69" s="2"/>
      <c r="R69" s="2"/>
      <c r="S69" s="2"/>
      <c r="T69" s="2"/>
      <c r="U69" s="2"/>
      <c r="V69" s="2"/>
      <c r="W69" s="2"/>
      <c r="X69" s="2"/>
      <c r="Y69" s="2"/>
    </row>
    <row r="70" spans="1:25" ht="15" thickBot="1" x14ac:dyDescent="0.35">
      <c r="A70" s="2"/>
      <c r="B70" s="2"/>
      <c r="C70" s="2"/>
      <c r="D70" s="2"/>
      <c r="E70" s="2"/>
      <c r="F70" s="2"/>
      <c r="G70" s="2"/>
      <c r="H70" s="2"/>
      <c r="I70" s="2"/>
      <c r="J70" s="2"/>
      <c r="K70" s="2"/>
      <c r="L70" s="2"/>
      <c r="M70" s="2"/>
      <c r="N70" s="2"/>
      <c r="O70" s="2"/>
      <c r="P70" s="2"/>
      <c r="Q70" s="2"/>
      <c r="R70" s="2"/>
      <c r="S70" s="2"/>
      <c r="T70" s="2"/>
      <c r="U70" s="2"/>
      <c r="V70" s="2"/>
      <c r="W70" s="2"/>
      <c r="X70" s="2"/>
      <c r="Y70" s="2"/>
    </row>
    <row r="71" spans="1:25" ht="15" thickBot="1" x14ac:dyDescent="0.35">
      <c r="A71" s="2"/>
      <c r="B71" s="2"/>
      <c r="C71" s="2"/>
      <c r="D71" s="2"/>
      <c r="E71" s="2"/>
      <c r="F71" s="2"/>
      <c r="G71" s="2"/>
      <c r="H71" s="2"/>
      <c r="I71" s="2"/>
      <c r="J71" s="2"/>
      <c r="K71" s="2"/>
      <c r="L71" s="2"/>
      <c r="M71" s="2"/>
      <c r="N71" s="2"/>
      <c r="O71" s="2"/>
      <c r="P71" s="2"/>
      <c r="Q71" s="2"/>
      <c r="R71" s="2"/>
      <c r="S71" s="2"/>
      <c r="T71" s="2"/>
      <c r="U71" s="2"/>
      <c r="V71" s="2"/>
      <c r="W71" s="2"/>
      <c r="X71" s="2"/>
      <c r="Y71" s="2"/>
    </row>
    <row r="72" spans="1:25" ht="15" thickBot="1" x14ac:dyDescent="0.35">
      <c r="A72" s="2"/>
      <c r="B72" s="2"/>
      <c r="C72" s="2"/>
      <c r="D72" s="2"/>
      <c r="E72" s="2"/>
      <c r="F72" s="2"/>
      <c r="G72" s="2"/>
      <c r="H72" s="2"/>
      <c r="I72" s="2"/>
      <c r="J72" s="2"/>
      <c r="K72" s="2"/>
      <c r="L72" s="2"/>
      <c r="M72" s="2"/>
      <c r="N72" s="2"/>
      <c r="O72" s="2"/>
      <c r="P72" s="2"/>
      <c r="Q72" s="2"/>
      <c r="R72" s="2"/>
      <c r="S72" s="2"/>
      <c r="T72" s="2"/>
      <c r="U72" s="2"/>
      <c r="V72" s="2"/>
      <c r="W72" s="2"/>
      <c r="X72" s="2"/>
      <c r="Y72" s="2"/>
    </row>
    <row r="73" spans="1:25" ht="15" thickBot="1" x14ac:dyDescent="0.35">
      <c r="A73" s="2"/>
      <c r="B73" s="2"/>
      <c r="C73" s="2"/>
      <c r="D73" s="2"/>
      <c r="E73" s="2"/>
      <c r="F73" s="2"/>
      <c r="G73" s="2"/>
      <c r="H73" s="2"/>
      <c r="I73" s="2"/>
      <c r="J73" s="2"/>
      <c r="K73" s="2"/>
      <c r="L73" s="2"/>
      <c r="M73" s="2"/>
      <c r="N73" s="2"/>
      <c r="O73" s="2"/>
      <c r="P73" s="2"/>
      <c r="Q73" s="2"/>
      <c r="R73" s="2"/>
      <c r="S73" s="2"/>
      <c r="T73" s="2"/>
      <c r="U73" s="2"/>
      <c r="V73" s="2"/>
      <c r="W73" s="2"/>
      <c r="X73" s="2"/>
      <c r="Y73" s="2"/>
    </row>
    <row r="74" spans="1:25" ht="15" thickBot="1" x14ac:dyDescent="0.35">
      <c r="A74" s="2"/>
      <c r="B74" s="2"/>
      <c r="C74" s="2"/>
      <c r="D74" s="2"/>
      <c r="E74" s="2"/>
      <c r="F74" s="2"/>
      <c r="G74" s="2"/>
      <c r="H74" s="2"/>
      <c r="I74" s="2"/>
      <c r="J74" s="2"/>
      <c r="K74" s="2"/>
      <c r="L74" s="2"/>
      <c r="M74" s="2"/>
      <c r="N74" s="2"/>
      <c r="O74" s="2"/>
      <c r="P74" s="2"/>
      <c r="Q74" s="2"/>
      <c r="R74" s="2"/>
      <c r="S74" s="2"/>
      <c r="T74" s="2"/>
      <c r="U74" s="2"/>
      <c r="V74" s="2"/>
      <c r="W74" s="2"/>
      <c r="X74" s="2"/>
      <c r="Y74" s="2"/>
    </row>
    <row r="75" spans="1:25" ht="15" thickBot="1" x14ac:dyDescent="0.35">
      <c r="A75" s="2"/>
      <c r="B75" s="2"/>
      <c r="C75" s="2"/>
      <c r="D75" s="2"/>
      <c r="E75" s="2"/>
      <c r="F75" s="2"/>
      <c r="G75" s="2"/>
      <c r="H75" s="2"/>
      <c r="I75" s="2"/>
      <c r="J75" s="2"/>
      <c r="K75" s="2"/>
      <c r="L75" s="2"/>
      <c r="M75" s="2"/>
      <c r="N75" s="2"/>
      <c r="O75" s="2"/>
      <c r="P75" s="2"/>
      <c r="Q75" s="2"/>
      <c r="R75" s="2"/>
      <c r="S75" s="2"/>
      <c r="T75" s="2"/>
      <c r="U75" s="2"/>
      <c r="V75" s="2"/>
      <c r="W75" s="2"/>
      <c r="X75" s="2"/>
      <c r="Y75" s="2"/>
    </row>
    <row r="76" spans="1:25" ht="15" thickBot="1" x14ac:dyDescent="0.35">
      <c r="A76" s="2"/>
      <c r="B76" s="2"/>
      <c r="C76" s="2"/>
      <c r="D76" s="2"/>
      <c r="E76" s="2"/>
      <c r="F76" s="2"/>
      <c r="G76" s="2"/>
      <c r="H76" s="2"/>
      <c r="I76" s="2"/>
      <c r="J76" s="2"/>
      <c r="K76" s="2"/>
      <c r="L76" s="2"/>
      <c r="M76" s="2"/>
      <c r="N76" s="2"/>
      <c r="O76" s="2"/>
      <c r="P76" s="2"/>
      <c r="Q76" s="2"/>
      <c r="R76" s="2"/>
      <c r="S76" s="2"/>
      <c r="T76" s="2"/>
      <c r="U76" s="2"/>
      <c r="V76" s="2"/>
      <c r="W76" s="2"/>
      <c r="X76" s="2"/>
      <c r="Y76" s="2"/>
    </row>
    <row r="77" spans="1:25" ht="15" thickBot="1" x14ac:dyDescent="0.35">
      <c r="A77" s="2"/>
      <c r="B77" s="2"/>
      <c r="C77" s="2"/>
      <c r="D77" s="2"/>
      <c r="E77" s="2"/>
      <c r="F77" s="2"/>
      <c r="G77" s="2"/>
      <c r="H77" s="2"/>
      <c r="I77" s="2"/>
      <c r="J77" s="2"/>
      <c r="K77" s="2"/>
      <c r="L77" s="2"/>
      <c r="M77" s="2"/>
      <c r="N77" s="2"/>
      <c r="O77" s="2"/>
      <c r="P77" s="2"/>
      <c r="Q77" s="2"/>
      <c r="R77" s="2"/>
      <c r="S77" s="2"/>
      <c r="T77" s="2"/>
      <c r="U77" s="2"/>
      <c r="V77" s="2"/>
      <c r="W77" s="2"/>
      <c r="X77" s="2"/>
      <c r="Y77" s="2"/>
    </row>
    <row r="78" spans="1:25" ht="15" thickBot="1" x14ac:dyDescent="0.35">
      <c r="A78" s="2"/>
      <c r="B78" s="2"/>
      <c r="C78" s="2"/>
      <c r="D78" s="2"/>
      <c r="E78" s="2"/>
      <c r="F78" s="2"/>
      <c r="G78" s="2"/>
      <c r="H78" s="2"/>
      <c r="I78" s="2"/>
      <c r="J78" s="2"/>
      <c r="K78" s="2"/>
      <c r="L78" s="2"/>
      <c r="M78" s="2"/>
      <c r="N78" s="2"/>
      <c r="O78" s="2"/>
      <c r="P78" s="2"/>
      <c r="Q78" s="2"/>
      <c r="R78" s="2"/>
      <c r="S78" s="2"/>
      <c r="T78" s="2"/>
      <c r="U78" s="2"/>
      <c r="V78" s="2"/>
      <c r="W78" s="2"/>
      <c r="X78" s="2"/>
      <c r="Y78" s="2"/>
    </row>
    <row r="79" spans="1:25" ht="15" thickBot="1" x14ac:dyDescent="0.35">
      <c r="A79" s="2"/>
      <c r="B79" s="2"/>
      <c r="C79" s="2"/>
      <c r="D79" s="2"/>
      <c r="E79" s="2"/>
      <c r="F79" s="2"/>
      <c r="G79" s="2"/>
      <c r="H79" s="2"/>
      <c r="I79" s="2"/>
      <c r="J79" s="2"/>
      <c r="K79" s="2"/>
      <c r="L79" s="2"/>
      <c r="M79" s="2"/>
      <c r="N79" s="2"/>
      <c r="O79" s="2"/>
      <c r="P79" s="2"/>
      <c r="Q79" s="2"/>
      <c r="R79" s="2"/>
      <c r="S79" s="2"/>
      <c r="T79" s="2"/>
      <c r="U79" s="2"/>
      <c r="V79" s="2"/>
      <c r="W79" s="2"/>
      <c r="X79" s="2"/>
      <c r="Y79" s="2"/>
    </row>
    <row r="80" spans="1:25" ht="15" thickBot="1" x14ac:dyDescent="0.35">
      <c r="A80" s="2"/>
      <c r="B80" s="2"/>
      <c r="C80" s="2"/>
      <c r="D80" s="2"/>
      <c r="E80" s="2"/>
      <c r="F80" s="2"/>
      <c r="G80" s="2"/>
      <c r="H80" s="2"/>
      <c r="I80" s="2"/>
      <c r="J80" s="2"/>
      <c r="K80" s="2"/>
      <c r="L80" s="2"/>
      <c r="M80" s="2"/>
      <c r="N80" s="2"/>
      <c r="O80" s="2"/>
      <c r="P80" s="2"/>
      <c r="Q80" s="2"/>
      <c r="R80" s="2"/>
      <c r="S80" s="2"/>
      <c r="T80" s="2"/>
      <c r="U80" s="2"/>
      <c r="V80" s="2"/>
      <c r="W80" s="2"/>
      <c r="X80" s="2"/>
      <c r="Y80" s="2"/>
    </row>
    <row r="81" spans="1:25" ht="15" thickBot="1" x14ac:dyDescent="0.35">
      <c r="A81" s="2"/>
      <c r="B81" s="2"/>
      <c r="C81" s="2"/>
      <c r="D81" s="2"/>
      <c r="E81" s="2"/>
      <c r="F81" s="2"/>
      <c r="G81" s="2"/>
      <c r="H81" s="2"/>
      <c r="I81" s="2"/>
      <c r="J81" s="2"/>
      <c r="K81" s="2"/>
      <c r="L81" s="2"/>
      <c r="M81" s="2"/>
      <c r="N81" s="2"/>
      <c r="O81" s="2"/>
      <c r="P81" s="2"/>
      <c r="Q81" s="2"/>
      <c r="R81" s="2"/>
      <c r="S81" s="2"/>
      <c r="T81" s="2"/>
      <c r="U81" s="2"/>
      <c r="V81" s="2"/>
      <c r="W81" s="2"/>
      <c r="X81" s="2"/>
      <c r="Y81" s="2"/>
    </row>
    <row r="82" spans="1:25" ht="15" thickBot="1" x14ac:dyDescent="0.35">
      <c r="A82" s="2"/>
      <c r="B82" s="2"/>
      <c r="C82" s="2"/>
      <c r="D82" s="2"/>
      <c r="E82" s="2"/>
      <c r="F82" s="2"/>
      <c r="G82" s="2"/>
      <c r="H82" s="2"/>
      <c r="I82" s="2"/>
      <c r="J82" s="2"/>
      <c r="K82" s="2"/>
      <c r="L82" s="2"/>
      <c r="M82" s="2"/>
      <c r="N82" s="2"/>
      <c r="O82" s="2"/>
      <c r="P82" s="2"/>
      <c r="Q82" s="2"/>
      <c r="R82" s="2"/>
      <c r="S82" s="2"/>
      <c r="T82" s="2"/>
      <c r="U82" s="2"/>
      <c r="V82" s="2"/>
      <c r="W82" s="2"/>
      <c r="X82" s="2"/>
      <c r="Y82" s="2"/>
    </row>
    <row r="83" spans="1:25" ht="15" thickBot="1" x14ac:dyDescent="0.35">
      <c r="A83" s="2"/>
      <c r="B83" s="2"/>
      <c r="C83" s="2"/>
      <c r="D83" s="2"/>
      <c r="E83" s="2"/>
      <c r="F83" s="2"/>
      <c r="G83" s="2"/>
      <c r="H83" s="2"/>
      <c r="I83" s="2"/>
      <c r="J83" s="2"/>
      <c r="K83" s="2"/>
      <c r="L83" s="2"/>
      <c r="M83" s="2"/>
      <c r="N83" s="2"/>
      <c r="O83" s="2"/>
      <c r="P83" s="2"/>
      <c r="Q83" s="2"/>
      <c r="R83" s="2"/>
      <c r="S83" s="2"/>
      <c r="T83" s="2"/>
      <c r="U83" s="2"/>
      <c r="V83" s="2"/>
      <c r="W83" s="2"/>
      <c r="X83" s="2"/>
      <c r="Y83" s="2"/>
    </row>
    <row r="84" spans="1:25" ht="15" thickBot="1" x14ac:dyDescent="0.35">
      <c r="A84" s="2"/>
      <c r="B84" s="2"/>
      <c r="C84" s="2"/>
      <c r="D84" s="2"/>
      <c r="E84" s="2"/>
      <c r="F84" s="2"/>
      <c r="G84" s="2"/>
      <c r="H84" s="2"/>
      <c r="I84" s="2"/>
      <c r="J84" s="2"/>
      <c r="K84" s="2"/>
      <c r="L84" s="2"/>
      <c r="M84" s="2"/>
      <c r="N84" s="2"/>
      <c r="O84" s="2"/>
      <c r="P84" s="2"/>
      <c r="Q84" s="2"/>
      <c r="R84" s="2"/>
      <c r="S84" s="2"/>
      <c r="T84" s="2"/>
      <c r="U84" s="2"/>
      <c r="V84" s="2"/>
      <c r="W84" s="2"/>
      <c r="X84" s="2"/>
      <c r="Y84" s="2"/>
    </row>
    <row r="85" spans="1:25" ht="15" thickBot="1" x14ac:dyDescent="0.35">
      <c r="A85" s="2"/>
      <c r="B85" s="2"/>
      <c r="C85" s="2"/>
      <c r="D85" s="2"/>
      <c r="E85" s="2"/>
      <c r="F85" s="2"/>
      <c r="G85" s="2"/>
      <c r="H85" s="2"/>
      <c r="I85" s="2"/>
      <c r="J85" s="2"/>
      <c r="K85" s="2"/>
      <c r="L85" s="2"/>
      <c r="M85" s="2"/>
      <c r="N85" s="2"/>
      <c r="O85" s="2"/>
      <c r="P85" s="2"/>
      <c r="Q85" s="2"/>
      <c r="R85" s="2"/>
      <c r="S85" s="2"/>
      <c r="T85" s="2"/>
      <c r="U85" s="2"/>
      <c r="V85" s="2"/>
      <c r="W85" s="2"/>
      <c r="X85" s="2"/>
      <c r="Y85" s="2"/>
    </row>
    <row r="86" spans="1:25" ht="15" thickBot="1" x14ac:dyDescent="0.35">
      <c r="A86" s="2"/>
      <c r="B86" s="2"/>
      <c r="C86" s="2"/>
      <c r="D86" s="2"/>
      <c r="E86" s="2"/>
      <c r="F86" s="2"/>
      <c r="G86" s="2"/>
      <c r="H86" s="2"/>
      <c r="I86" s="2"/>
      <c r="J86" s="2"/>
      <c r="K86" s="2"/>
      <c r="L86" s="2"/>
      <c r="M86" s="2"/>
      <c r="N86" s="2"/>
      <c r="O86" s="2"/>
      <c r="P86" s="2"/>
      <c r="Q86" s="2"/>
      <c r="R86" s="2"/>
      <c r="S86" s="2"/>
      <c r="T86" s="2"/>
      <c r="U86" s="2"/>
      <c r="V86" s="2"/>
      <c r="W86" s="2"/>
      <c r="X86" s="2"/>
      <c r="Y86" s="2"/>
    </row>
    <row r="87" spans="1:25" ht="15" thickBot="1" x14ac:dyDescent="0.35">
      <c r="A87" s="2"/>
      <c r="B87" s="2"/>
      <c r="C87" s="2"/>
      <c r="D87" s="2"/>
      <c r="E87" s="2"/>
      <c r="F87" s="2"/>
      <c r="G87" s="2"/>
      <c r="H87" s="2"/>
      <c r="I87" s="2"/>
      <c r="J87" s="2"/>
      <c r="K87" s="2"/>
      <c r="L87" s="2"/>
      <c r="M87" s="2"/>
      <c r="N87" s="2"/>
      <c r="O87" s="2"/>
      <c r="P87" s="2"/>
      <c r="Q87" s="2"/>
      <c r="R87" s="2"/>
      <c r="S87" s="2"/>
      <c r="T87" s="2"/>
      <c r="U87" s="2"/>
      <c r="V87" s="2"/>
      <c r="W87" s="2"/>
      <c r="X87" s="2"/>
      <c r="Y87" s="2"/>
    </row>
    <row r="88" spans="1:25" ht="15" thickBot="1" x14ac:dyDescent="0.35">
      <c r="A88" s="2"/>
      <c r="B88" s="2"/>
      <c r="C88" s="2"/>
      <c r="D88" s="2"/>
      <c r="E88" s="2"/>
      <c r="F88" s="2"/>
      <c r="G88" s="2"/>
      <c r="H88" s="2"/>
      <c r="I88" s="2"/>
      <c r="J88" s="2"/>
      <c r="K88" s="2"/>
      <c r="L88" s="2"/>
      <c r="M88" s="2"/>
      <c r="N88" s="2"/>
      <c r="O88" s="2"/>
      <c r="P88" s="2"/>
      <c r="Q88" s="2"/>
      <c r="R88" s="2"/>
      <c r="S88" s="2"/>
      <c r="T88" s="2"/>
      <c r="U88" s="2"/>
      <c r="V88" s="2"/>
      <c r="W88" s="2"/>
      <c r="X88" s="2"/>
      <c r="Y88" s="2"/>
    </row>
    <row r="89" spans="1:25" ht="15" thickBot="1" x14ac:dyDescent="0.35">
      <c r="A89" s="2"/>
      <c r="B89" s="2"/>
      <c r="C89" s="2"/>
      <c r="D89" s="2"/>
      <c r="E89" s="2"/>
      <c r="F89" s="2"/>
      <c r="G89" s="2"/>
      <c r="H89" s="2"/>
      <c r="I89" s="2"/>
      <c r="J89" s="2"/>
      <c r="K89" s="2"/>
      <c r="L89" s="2"/>
      <c r="M89" s="2"/>
      <c r="N89" s="2"/>
      <c r="O89" s="2"/>
      <c r="P89" s="2"/>
      <c r="Q89" s="2"/>
      <c r="R89" s="2"/>
      <c r="S89" s="2"/>
      <c r="T89" s="2"/>
      <c r="U89" s="2"/>
      <c r="V89" s="2"/>
      <c r="W89" s="2"/>
      <c r="X89" s="2"/>
      <c r="Y89" s="2"/>
    </row>
    <row r="90" spans="1:25" ht="15" thickBot="1" x14ac:dyDescent="0.35">
      <c r="A90" s="2"/>
      <c r="B90" s="2"/>
      <c r="C90" s="2"/>
      <c r="D90" s="2"/>
      <c r="E90" s="2"/>
      <c r="F90" s="2"/>
      <c r="G90" s="2"/>
      <c r="H90" s="2"/>
      <c r="I90" s="2"/>
      <c r="J90" s="2"/>
      <c r="K90" s="2"/>
      <c r="L90" s="2"/>
      <c r="M90" s="2"/>
      <c r="N90" s="2"/>
      <c r="O90" s="2"/>
      <c r="P90" s="2"/>
      <c r="Q90" s="2"/>
      <c r="R90" s="2"/>
      <c r="S90" s="2"/>
      <c r="T90" s="2"/>
      <c r="U90" s="2"/>
      <c r="V90" s="2"/>
      <c r="W90" s="2"/>
      <c r="X90" s="2"/>
      <c r="Y90" s="2"/>
    </row>
    <row r="91" spans="1:25" ht="15" thickBot="1" x14ac:dyDescent="0.35">
      <c r="A91" s="2"/>
      <c r="B91" s="2"/>
      <c r="C91" s="2"/>
      <c r="D91" s="2"/>
      <c r="E91" s="2"/>
      <c r="F91" s="2"/>
      <c r="G91" s="2"/>
      <c r="H91" s="2"/>
      <c r="I91" s="2"/>
      <c r="J91" s="2"/>
      <c r="K91" s="2"/>
      <c r="L91" s="2"/>
      <c r="M91" s="2"/>
      <c r="N91" s="2"/>
      <c r="O91" s="2"/>
      <c r="P91" s="2"/>
      <c r="Q91" s="2"/>
      <c r="R91" s="2"/>
      <c r="S91" s="2"/>
      <c r="T91" s="2"/>
      <c r="U91" s="2"/>
      <c r="V91" s="2"/>
      <c r="W91" s="2"/>
      <c r="X91" s="2"/>
      <c r="Y91" s="2"/>
    </row>
    <row r="92" spans="1:25" ht="15" thickBot="1" x14ac:dyDescent="0.35">
      <c r="A92" s="2"/>
      <c r="B92" s="2"/>
      <c r="C92" s="2"/>
      <c r="D92" s="2"/>
      <c r="E92" s="2"/>
      <c r="F92" s="2"/>
      <c r="G92" s="2"/>
      <c r="H92" s="2"/>
      <c r="I92" s="2"/>
      <c r="J92" s="2"/>
      <c r="K92" s="2"/>
      <c r="L92" s="2"/>
      <c r="M92" s="2"/>
      <c r="N92" s="2"/>
      <c r="O92" s="2"/>
      <c r="P92" s="2"/>
      <c r="Q92" s="2"/>
      <c r="R92" s="2"/>
      <c r="S92" s="2"/>
      <c r="T92" s="2"/>
      <c r="U92" s="2"/>
      <c r="V92" s="2"/>
      <c r="W92" s="2"/>
      <c r="X92" s="2"/>
      <c r="Y92" s="2"/>
    </row>
    <row r="93" spans="1:25" ht="15" thickBot="1" x14ac:dyDescent="0.35">
      <c r="A93" s="2"/>
      <c r="B93" s="2"/>
      <c r="C93" s="2"/>
      <c r="D93" s="2"/>
      <c r="E93" s="2"/>
      <c r="F93" s="2"/>
      <c r="G93" s="2"/>
      <c r="H93" s="2"/>
      <c r="I93" s="2"/>
      <c r="J93" s="2"/>
      <c r="K93" s="2"/>
      <c r="L93" s="2"/>
      <c r="M93" s="2"/>
      <c r="N93" s="2"/>
      <c r="O93" s="2"/>
      <c r="P93" s="2"/>
      <c r="Q93" s="2"/>
      <c r="R93" s="2"/>
      <c r="S93" s="2"/>
      <c r="T93" s="2"/>
      <c r="U93" s="2"/>
      <c r="V93" s="2"/>
      <c r="W93" s="2"/>
      <c r="X93" s="2"/>
      <c r="Y93" s="2"/>
    </row>
    <row r="94" spans="1:25" ht="15" thickBot="1" x14ac:dyDescent="0.35">
      <c r="A94" s="2"/>
      <c r="B94" s="2"/>
      <c r="C94" s="2"/>
      <c r="D94" s="2"/>
      <c r="E94" s="2"/>
      <c r="F94" s="2"/>
      <c r="G94" s="2"/>
      <c r="H94" s="2"/>
      <c r="I94" s="2"/>
      <c r="J94" s="2"/>
      <c r="K94" s="2"/>
      <c r="L94" s="2"/>
      <c r="M94" s="2"/>
      <c r="N94" s="2"/>
      <c r="O94" s="2"/>
      <c r="P94" s="2"/>
      <c r="Q94" s="2"/>
      <c r="R94" s="2"/>
      <c r="S94" s="2"/>
      <c r="T94" s="2"/>
      <c r="U94" s="2"/>
      <c r="V94" s="2"/>
      <c r="W94" s="2"/>
      <c r="X94" s="2"/>
      <c r="Y94" s="2"/>
    </row>
    <row r="95" spans="1:25" ht="15" thickBot="1" x14ac:dyDescent="0.35">
      <c r="A95" s="2"/>
      <c r="B95" s="2"/>
      <c r="C95" s="2"/>
      <c r="D95" s="2"/>
      <c r="E95" s="2"/>
      <c r="F95" s="2"/>
      <c r="G95" s="2"/>
      <c r="H95" s="2"/>
      <c r="I95" s="2"/>
      <c r="J95" s="2"/>
      <c r="K95" s="2"/>
      <c r="L95" s="2"/>
      <c r="M95" s="2"/>
      <c r="N95" s="2"/>
      <c r="O95" s="2"/>
      <c r="P95" s="2"/>
      <c r="Q95" s="2"/>
      <c r="R95" s="2"/>
      <c r="S95" s="2"/>
      <c r="T95" s="2"/>
      <c r="U95" s="2"/>
      <c r="V95" s="2"/>
      <c r="W95" s="2"/>
      <c r="X95" s="2"/>
      <c r="Y95" s="2"/>
    </row>
    <row r="96" spans="1:25" ht="15" thickBot="1" x14ac:dyDescent="0.35">
      <c r="A96" s="2"/>
      <c r="B96" s="2"/>
      <c r="C96" s="2"/>
      <c r="D96" s="2"/>
      <c r="E96" s="2"/>
      <c r="F96" s="2"/>
      <c r="G96" s="2"/>
      <c r="H96" s="2"/>
      <c r="I96" s="2"/>
      <c r="J96" s="2"/>
      <c r="K96" s="2"/>
      <c r="L96" s="2"/>
      <c r="M96" s="2"/>
      <c r="N96" s="2"/>
      <c r="O96" s="2"/>
      <c r="P96" s="2"/>
      <c r="Q96" s="2"/>
      <c r="R96" s="2"/>
      <c r="S96" s="2"/>
      <c r="T96" s="2"/>
      <c r="U96" s="2"/>
      <c r="V96" s="2"/>
      <c r="W96" s="2"/>
      <c r="X96" s="2"/>
      <c r="Y96" s="2"/>
    </row>
    <row r="97" spans="1:25" ht="15" thickBot="1" x14ac:dyDescent="0.35">
      <c r="A97" s="2"/>
      <c r="B97" s="2"/>
      <c r="C97" s="2"/>
      <c r="D97" s="2"/>
      <c r="E97" s="2"/>
      <c r="F97" s="2"/>
      <c r="G97" s="2"/>
      <c r="H97" s="2"/>
      <c r="I97" s="2"/>
      <c r="J97" s="2"/>
      <c r="K97" s="2"/>
      <c r="L97" s="2"/>
      <c r="M97" s="2"/>
      <c r="N97" s="2"/>
      <c r="O97" s="2"/>
      <c r="P97" s="2"/>
      <c r="Q97" s="2"/>
      <c r="R97" s="2"/>
      <c r="S97" s="2"/>
      <c r="T97" s="2"/>
      <c r="U97" s="2"/>
      <c r="V97" s="2"/>
      <c r="W97" s="2"/>
      <c r="X97" s="2"/>
      <c r="Y97" s="2"/>
    </row>
    <row r="98" spans="1:25" ht="15" thickBot="1" x14ac:dyDescent="0.35">
      <c r="A98" s="2"/>
      <c r="B98" s="2"/>
      <c r="C98" s="2"/>
      <c r="D98" s="2"/>
      <c r="E98" s="2"/>
      <c r="F98" s="2"/>
      <c r="G98" s="2"/>
      <c r="H98" s="2"/>
      <c r="I98" s="2"/>
      <c r="J98" s="2"/>
      <c r="K98" s="2"/>
      <c r="L98" s="2"/>
      <c r="M98" s="2"/>
      <c r="N98" s="2"/>
      <c r="O98" s="2"/>
      <c r="P98" s="2"/>
      <c r="Q98" s="2"/>
      <c r="R98" s="2"/>
      <c r="S98" s="2"/>
      <c r="T98" s="2"/>
      <c r="U98" s="2"/>
      <c r="V98" s="2"/>
      <c r="W98" s="2"/>
      <c r="X98" s="2"/>
      <c r="Y98" s="2"/>
    </row>
    <row r="99" spans="1:25" ht="15" thickBot="1" x14ac:dyDescent="0.35">
      <c r="A99" s="2"/>
      <c r="B99" s="2"/>
      <c r="C99" s="2"/>
      <c r="D99" s="2"/>
      <c r="E99" s="2"/>
      <c r="F99" s="2"/>
      <c r="G99" s="2"/>
      <c r="H99" s="2"/>
      <c r="I99" s="2"/>
      <c r="J99" s="2"/>
      <c r="K99" s="2"/>
      <c r="L99" s="2"/>
      <c r="M99" s="2"/>
      <c r="N99" s="2"/>
      <c r="O99" s="2"/>
      <c r="P99" s="2"/>
      <c r="Q99" s="2"/>
      <c r="R99" s="2"/>
      <c r="S99" s="2"/>
      <c r="T99" s="2"/>
      <c r="U99" s="2"/>
      <c r="V99" s="2"/>
      <c r="W99" s="2"/>
      <c r="X99" s="2"/>
      <c r="Y99" s="2"/>
    </row>
    <row r="100" spans="1:25" ht="15"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B1:G12"/>
  <sheetViews>
    <sheetView showGridLines="0" workbookViewId="0"/>
  </sheetViews>
  <sheetFormatPr defaultRowHeight="14.4" outlineLevelRow="1" outlineLevelCol="1" x14ac:dyDescent="0.3"/>
  <cols>
    <col min="3" max="3" width="5.44140625" customWidth="1"/>
    <col min="4" max="7" width="13.109375" bestFit="1" customWidth="1" outlineLevel="1"/>
  </cols>
  <sheetData>
    <row r="1" spans="2:7" ht="15" thickBot="1" x14ac:dyDescent="0.35"/>
    <row r="2" spans="2:7" ht="15.6" x14ac:dyDescent="0.3">
      <c r="B2" s="13" t="s">
        <v>413</v>
      </c>
      <c r="C2" s="13"/>
      <c r="D2" s="18"/>
      <c r="E2" s="18"/>
      <c r="F2" s="18"/>
      <c r="G2" s="18"/>
    </row>
    <row r="3" spans="2:7" ht="15.6" collapsed="1" x14ac:dyDescent="0.3">
      <c r="B3" s="12"/>
      <c r="C3" s="12"/>
      <c r="D3" s="19" t="s">
        <v>415</v>
      </c>
      <c r="E3" s="19" t="s">
        <v>409</v>
      </c>
      <c r="F3" s="19" t="s">
        <v>411</v>
      </c>
      <c r="G3" s="19" t="s">
        <v>412</v>
      </c>
    </row>
    <row r="4" spans="2:7" ht="20.399999999999999" hidden="1" outlineLevel="1" x14ac:dyDescent="0.3">
      <c r="B4" s="15"/>
      <c r="C4" s="15"/>
      <c r="E4" s="21" t="s">
        <v>410</v>
      </c>
      <c r="F4" s="21" t="s">
        <v>410</v>
      </c>
      <c r="G4" s="21" t="s">
        <v>410</v>
      </c>
    </row>
    <row r="5" spans="2:7" x14ac:dyDescent="0.3">
      <c r="B5" s="16" t="s">
        <v>414</v>
      </c>
      <c r="C5" s="16"/>
      <c r="D5" s="14"/>
      <c r="E5" s="14"/>
      <c r="F5" s="14"/>
      <c r="G5" s="14"/>
    </row>
    <row r="6" spans="2:7" outlineLevel="1" x14ac:dyDescent="0.3">
      <c r="B6" s="15"/>
      <c r="C6" s="15" t="s">
        <v>406</v>
      </c>
      <c r="D6">
        <v>3</v>
      </c>
      <c r="E6" s="20">
        <v>10</v>
      </c>
      <c r="F6" s="20">
        <v>5</v>
      </c>
      <c r="G6" s="20">
        <v>2</v>
      </c>
    </row>
    <row r="7" spans="2:7" outlineLevel="1" x14ac:dyDescent="0.3">
      <c r="B7" s="15"/>
      <c r="C7" s="15" t="s">
        <v>407</v>
      </c>
      <c r="D7">
        <v>249.99</v>
      </c>
      <c r="E7" s="20">
        <v>900</v>
      </c>
      <c r="F7" s="20">
        <v>700</v>
      </c>
      <c r="G7" s="20">
        <v>59.99</v>
      </c>
    </row>
    <row r="8" spans="2:7" x14ac:dyDescent="0.3">
      <c r="B8" s="16" t="s">
        <v>416</v>
      </c>
      <c r="C8" s="16"/>
      <c r="D8" s="14"/>
      <c r="E8" s="14"/>
      <c r="F8" s="14"/>
      <c r="G8" s="14"/>
    </row>
    <row r="9" spans="2:7" ht="15" outlineLevel="1" thickBot="1" x14ac:dyDescent="0.35">
      <c r="B9" s="17"/>
      <c r="C9" s="17" t="s">
        <v>408</v>
      </c>
      <c r="D9" s="11">
        <v>749.97</v>
      </c>
      <c r="E9" s="11">
        <v>9000</v>
      </c>
      <c r="F9" s="11">
        <v>3500</v>
      </c>
      <c r="G9" s="11">
        <v>119.98</v>
      </c>
    </row>
    <row r="10" spans="2:7" x14ac:dyDescent="0.3">
      <c r="B10" t="s">
        <v>417</v>
      </c>
    </row>
    <row r="11" spans="2:7" x14ac:dyDescent="0.3">
      <c r="B11" t="s">
        <v>418</v>
      </c>
    </row>
    <row r="12" spans="2:7" x14ac:dyDescent="0.3">
      <c r="B12" t="s">
        <v>419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74"/>
  <sheetViews>
    <sheetView workbookViewId="0">
      <selection activeCell="Q6" sqref="Q6"/>
    </sheetView>
  </sheetViews>
  <sheetFormatPr defaultRowHeight="14.4" x14ac:dyDescent="0.3"/>
  <sheetData>
    <row r="1" spans="1:9" x14ac:dyDescent="0.3">
      <c r="A1" t="s">
        <v>420</v>
      </c>
    </row>
    <row r="2" spans="1:9" ht="15" thickBot="1" x14ac:dyDescent="0.35"/>
    <row r="3" spans="1:9" x14ac:dyDescent="0.3">
      <c r="A3" s="23" t="s">
        <v>421</v>
      </c>
      <c r="B3" s="23"/>
    </row>
    <row r="4" spans="1:9" x14ac:dyDescent="0.3">
      <c r="A4" t="s">
        <v>422</v>
      </c>
      <c r="B4">
        <v>0.45808036093237842</v>
      </c>
    </row>
    <row r="5" spans="1:9" x14ac:dyDescent="0.3">
      <c r="A5" t="s">
        <v>423</v>
      </c>
      <c r="B5">
        <v>0.2098376170719381</v>
      </c>
    </row>
    <row r="6" spans="1:9" x14ac:dyDescent="0.3">
      <c r="A6" t="s">
        <v>424</v>
      </c>
      <c r="B6">
        <v>0.20665147843109913</v>
      </c>
    </row>
    <row r="7" spans="1:9" x14ac:dyDescent="0.3">
      <c r="A7" t="s">
        <v>425</v>
      </c>
      <c r="B7">
        <v>919.60715349471081</v>
      </c>
    </row>
    <row r="8" spans="1:9" ht="15" thickBot="1" x14ac:dyDescent="0.35">
      <c r="A8" s="11" t="s">
        <v>426</v>
      </c>
      <c r="B8" s="11">
        <v>250</v>
      </c>
    </row>
    <row r="10" spans="1:9" ht="15" thickBot="1" x14ac:dyDescent="0.35">
      <c r="A10" t="s">
        <v>427</v>
      </c>
    </row>
    <row r="11" spans="1:9" x14ac:dyDescent="0.3">
      <c r="A11" s="22"/>
      <c r="B11" s="22" t="s">
        <v>432</v>
      </c>
      <c r="C11" s="22" t="s">
        <v>433</v>
      </c>
      <c r="D11" s="22" t="s">
        <v>434</v>
      </c>
      <c r="E11" s="22" t="s">
        <v>435</v>
      </c>
      <c r="F11" s="22" t="s">
        <v>436</v>
      </c>
    </row>
    <row r="12" spans="1:9" x14ac:dyDescent="0.3">
      <c r="A12" t="s">
        <v>428</v>
      </c>
      <c r="B12">
        <v>1</v>
      </c>
      <c r="C12">
        <v>55695916.896352619</v>
      </c>
      <c r="D12">
        <v>55695916.896352619</v>
      </c>
      <c r="E12">
        <v>65.859537429508919</v>
      </c>
      <c r="F12">
        <v>2.2586478953134677E-14</v>
      </c>
    </row>
    <row r="13" spans="1:9" x14ac:dyDescent="0.3">
      <c r="A13" t="s">
        <v>429</v>
      </c>
      <c r="B13">
        <v>248</v>
      </c>
      <c r="C13">
        <v>209727974.55614385</v>
      </c>
      <c r="D13">
        <v>845677.31675864453</v>
      </c>
    </row>
    <row r="14" spans="1:9" ht="15" thickBot="1" x14ac:dyDescent="0.35">
      <c r="A14" s="11" t="s">
        <v>430</v>
      </c>
      <c r="B14" s="11">
        <v>249</v>
      </c>
      <c r="C14" s="11">
        <v>265423891.45249647</v>
      </c>
      <c r="D14" s="11"/>
      <c r="E14" s="11"/>
      <c r="F14" s="11"/>
    </row>
    <row r="15" spans="1:9" ht="15" thickBot="1" x14ac:dyDescent="0.35"/>
    <row r="16" spans="1:9" x14ac:dyDescent="0.3">
      <c r="A16" s="22"/>
      <c r="B16" s="22" t="s">
        <v>437</v>
      </c>
      <c r="C16" s="22" t="s">
        <v>425</v>
      </c>
      <c r="D16" s="22" t="s">
        <v>438</v>
      </c>
      <c r="E16" s="22" t="s">
        <v>439</v>
      </c>
      <c r="F16" s="22" t="s">
        <v>440</v>
      </c>
      <c r="G16" s="22" t="s">
        <v>441</v>
      </c>
      <c r="H16" s="22" t="s">
        <v>442</v>
      </c>
      <c r="I16" s="22" t="s">
        <v>443</v>
      </c>
    </row>
    <row r="17" spans="1:9" x14ac:dyDescent="0.3">
      <c r="A17" t="s">
        <v>431</v>
      </c>
      <c r="B17">
        <v>-148.85464891541903</v>
      </c>
      <c r="C17">
        <v>143.61334429876464</v>
      </c>
      <c r="D17">
        <v>-1.0364959443166415</v>
      </c>
      <c r="E17">
        <v>0.30098040367911694</v>
      </c>
      <c r="F17">
        <v>-431.71199538208884</v>
      </c>
      <c r="G17">
        <v>134.00269755125078</v>
      </c>
      <c r="H17">
        <v>-431.71199538208884</v>
      </c>
      <c r="I17">
        <v>134.00269755125078</v>
      </c>
    </row>
    <row r="18" spans="1:9" ht="15" thickBot="1" x14ac:dyDescent="0.35">
      <c r="A18" s="11" t="s">
        <v>444</v>
      </c>
      <c r="B18" s="11">
        <v>353.7930042879882</v>
      </c>
      <c r="C18" s="11">
        <v>43.595323340526868</v>
      </c>
      <c r="D18" s="11">
        <v>8.1153889265708674</v>
      </c>
      <c r="E18" s="11">
        <v>2.2586478953133775E-14</v>
      </c>
      <c r="F18" s="11">
        <v>267.92871682452869</v>
      </c>
      <c r="G18" s="11">
        <v>439.6572917514477</v>
      </c>
      <c r="H18" s="11">
        <v>267.92871682452869</v>
      </c>
      <c r="I18" s="11">
        <v>439.6572917514477</v>
      </c>
    </row>
    <row r="22" spans="1:9" x14ac:dyDescent="0.3">
      <c r="A22" t="s">
        <v>445</v>
      </c>
    </row>
    <row r="23" spans="1:9" ht="15" thickBot="1" x14ac:dyDescent="0.35"/>
    <row r="24" spans="1:9" x14ac:dyDescent="0.3">
      <c r="A24" s="22" t="s">
        <v>446</v>
      </c>
      <c r="B24" s="22" t="s">
        <v>447</v>
      </c>
      <c r="C24" s="22" t="s">
        <v>448</v>
      </c>
    </row>
    <row r="25" spans="1:9" x14ac:dyDescent="0.3">
      <c r="A25">
        <v>1</v>
      </c>
      <c r="B25">
        <v>912.52436394854556</v>
      </c>
      <c r="C25">
        <v>-162.55436394854553</v>
      </c>
    </row>
    <row r="26" spans="1:9" x14ac:dyDescent="0.3">
      <c r="A26">
        <v>2</v>
      </c>
      <c r="B26">
        <v>912.52436394854556</v>
      </c>
      <c r="C26">
        <v>-162.55436394854553</v>
      </c>
    </row>
    <row r="27" spans="1:9" x14ac:dyDescent="0.3">
      <c r="A27">
        <v>3</v>
      </c>
      <c r="B27">
        <v>912.52436394854556</v>
      </c>
      <c r="C27">
        <v>-732.55436394854553</v>
      </c>
    </row>
    <row r="28" spans="1:9" x14ac:dyDescent="0.3">
      <c r="A28">
        <v>4</v>
      </c>
      <c r="B28">
        <v>912.52436394854556</v>
      </c>
      <c r="C28">
        <v>-732.55436394854553</v>
      </c>
    </row>
    <row r="29" spans="1:9" x14ac:dyDescent="0.3">
      <c r="A29">
        <v>5</v>
      </c>
      <c r="B29">
        <v>1620.1103725245221</v>
      </c>
      <c r="C29">
        <v>-870.16037252452202</v>
      </c>
    </row>
    <row r="30" spans="1:9" x14ac:dyDescent="0.3">
      <c r="A30">
        <v>6</v>
      </c>
      <c r="B30">
        <v>558.73135966055736</v>
      </c>
      <c r="C30">
        <v>-438.75135966055734</v>
      </c>
    </row>
    <row r="31" spans="1:9" x14ac:dyDescent="0.3">
      <c r="A31">
        <v>7</v>
      </c>
      <c r="B31">
        <v>1620.1103725245221</v>
      </c>
      <c r="C31">
        <v>-870.16037252452202</v>
      </c>
    </row>
    <row r="32" spans="1:9" x14ac:dyDescent="0.3">
      <c r="A32">
        <v>8</v>
      </c>
      <c r="B32">
        <v>912.52436394854556</v>
      </c>
      <c r="C32">
        <v>-732.55436394854553</v>
      </c>
    </row>
    <row r="33" spans="1:3" x14ac:dyDescent="0.3">
      <c r="A33">
        <v>9</v>
      </c>
      <c r="B33">
        <v>912.52436394854556</v>
      </c>
      <c r="C33">
        <v>1787.4456360514546</v>
      </c>
    </row>
    <row r="34" spans="1:3" x14ac:dyDescent="0.3">
      <c r="A34">
        <v>10</v>
      </c>
      <c r="B34">
        <v>912.52436394854556</v>
      </c>
      <c r="C34">
        <v>-732.55436394854553</v>
      </c>
    </row>
    <row r="35" spans="1:3" x14ac:dyDescent="0.3">
      <c r="A35">
        <v>11</v>
      </c>
      <c r="B35">
        <v>204.93835537256916</v>
      </c>
      <c r="C35">
        <v>-54.948355372569154</v>
      </c>
    </row>
    <row r="36" spans="1:3" x14ac:dyDescent="0.3">
      <c r="A36">
        <v>12</v>
      </c>
      <c r="B36">
        <v>1620.1103725245221</v>
      </c>
      <c r="C36">
        <v>-870.16037252452202</v>
      </c>
    </row>
    <row r="37" spans="1:3" x14ac:dyDescent="0.3">
      <c r="A37">
        <v>13</v>
      </c>
      <c r="B37">
        <v>912.52436394854556</v>
      </c>
      <c r="C37">
        <v>-462.55436394854553</v>
      </c>
    </row>
    <row r="38" spans="1:3" x14ac:dyDescent="0.3">
      <c r="A38">
        <v>14</v>
      </c>
      <c r="B38">
        <v>912.52436394854556</v>
      </c>
      <c r="C38">
        <v>-732.55436394854553</v>
      </c>
    </row>
    <row r="39" spans="1:3" x14ac:dyDescent="0.3">
      <c r="A39">
        <v>15</v>
      </c>
      <c r="B39">
        <v>912.52436394854556</v>
      </c>
      <c r="C39">
        <v>1187.4456360514546</v>
      </c>
    </row>
    <row r="40" spans="1:3" x14ac:dyDescent="0.3">
      <c r="A40">
        <v>16</v>
      </c>
      <c r="B40">
        <v>204.93835537256916</v>
      </c>
      <c r="C40">
        <v>695.05164462743085</v>
      </c>
    </row>
    <row r="41" spans="1:3" x14ac:dyDescent="0.3">
      <c r="A41">
        <v>17</v>
      </c>
      <c r="B41">
        <v>1266.3173682365336</v>
      </c>
      <c r="C41">
        <v>-666.3573682365336</v>
      </c>
    </row>
    <row r="42" spans="1:3" x14ac:dyDescent="0.3">
      <c r="A42">
        <v>18</v>
      </c>
      <c r="B42">
        <v>558.73135966055736</v>
      </c>
      <c r="C42">
        <v>841.24864033944266</v>
      </c>
    </row>
    <row r="43" spans="1:3" x14ac:dyDescent="0.3">
      <c r="A43">
        <v>19</v>
      </c>
      <c r="B43">
        <v>1266.3173682365336</v>
      </c>
      <c r="C43">
        <v>2333.6426317634664</v>
      </c>
    </row>
    <row r="44" spans="1:3" x14ac:dyDescent="0.3">
      <c r="A44">
        <v>20</v>
      </c>
      <c r="B44">
        <v>912.52436394854556</v>
      </c>
      <c r="C44">
        <v>-162.55436394854553</v>
      </c>
    </row>
    <row r="45" spans="1:3" x14ac:dyDescent="0.3">
      <c r="A45">
        <v>21</v>
      </c>
      <c r="B45">
        <v>1620.1103725245221</v>
      </c>
      <c r="C45">
        <v>1879.8396274754778</v>
      </c>
    </row>
    <row r="46" spans="1:3" x14ac:dyDescent="0.3">
      <c r="A46">
        <v>22</v>
      </c>
      <c r="B46">
        <v>1266.3173682365336</v>
      </c>
      <c r="C46">
        <v>1533.6426317634664</v>
      </c>
    </row>
    <row r="47" spans="1:3" x14ac:dyDescent="0.3">
      <c r="A47">
        <v>23</v>
      </c>
      <c r="B47">
        <v>1266.3173682365336</v>
      </c>
      <c r="C47">
        <v>-266.3573682365336</v>
      </c>
    </row>
    <row r="48" spans="1:3" x14ac:dyDescent="0.3">
      <c r="A48">
        <v>24</v>
      </c>
      <c r="B48">
        <v>1266.3173682365336</v>
      </c>
      <c r="C48">
        <v>-66.357368236533603</v>
      </c>
    </row>
    <row r="49" spans="1:3" x14ac:dyDescent="0.3">
      <c r="A49">
        <v>25</v>
      </c>
      <c r="B49">
        <v>1620.1103725245221</v>
      </c>
      <c r="C49">
        <v>-370.16037252452202</v>
      </c>
    </row>
    <row r="50" spans="1:3" x14ac:dyDescent="0.3">
      <c r="A50">
        <v>26</v>
      </c>
      <c r="B50">
        <v>1620.1103725245221</v>
      </c>
      <c r="C50">
        <v>-120.16037252452202</v>
      </c>
    </row>
    <row r="51" spans="1:3" x14ac:dyDescent="0.3">
      <c r="A51">
        <v>27</v>
      </c>
      <c r="B51">
        <v>912.52436394854556</v>
      </c>
      <c r="C51">
        <v>-672.55436394854564</v>
      </c>
    </row>
    <row r="52" spans="1:3" x14ac:dyDescent="0.3">
      <c r="A52">
        <v>28</v>
      </c>
      <c r="B52">
        <v>1620.1103725245221</v>
      </c>
      <c r="C52">
        <v>-1170.160372524522</v>
      </c>
    </row>
    <row r="53" spans="1:3" x14ac:dyDescent="0.3">
      <c r="A53">
        <v>29</v>
      </c>
      <c r="B53">
        <v>558.73135966055736</v>
      </c>
      <c r="C53">
        <v>-438.75135966055734</v>
      </c>
    </row>
    <row r="54" spans="1:3" x14ac:dyDescent="0.3">
      <c r="A54">
        <v>30</v>
      </c>
      <c r="B54">
        <v>1266.3173682365336</v>
      </c>
      <c r="C54">
        <v>-1026.3573682365336</v>
      </c>
    </row>
    <row r="55" spans="1:3" x14ac:dyDescent="0.3">
      <c r="A55">
        <v>31</v>
      </c>
      <c r="B55">
        <v>1620.1103725245221</v>
      </c>
      <c r="C55">
        <v>-620.16037252452202</v>
      </c>
    </row>
    <row r="56" spans="1:3" x14ac:dyDescent="0.3">
      <c r="A56">
        <v>32</v>
      </c>
      <c r="B56">
        <v>558.73135966055736</v>
      </c>
      <c r="C56">
        <v>-258.75135966055734</v>
      </c>
    </row>
    <row r="57" spans="1:3" x14ac:dyDescent="0.3">
      <c r="A57">
        <v>33</v>
      </c>
      <c r="B57">
        <v>912.52436394854556</v>
      </c>
      <c r="C57">
        <v>-462.55436394854553</v>
      </c>
    </row>
    <row r="58" spans="1:3" x14ac:dyDescent="0.3">
      <c r="A58">
        <v>34</v>
      </c>
      <c r="B58">
        <v>204.93835537256916</v>
      </c>
      <c r="C58">
        <v>695.05164462743085</v>
      </c>
    </row>
    <row r="59" spans="1:3" x14ac:dyDescent="0.3">
      <c r="A59">
        <v>35</v>
      </c>
      <c r="B59">
        <v>912.52436394854556</v>
      </c>
      <c r="C59">
        <v>-12.554363948545529</v>
      </c>
    </row>
    <row r="60" spans="1:3" x14ac:dyDescent="0.3">
      <c r="A60">
        <v>36</v>
      </c>
      <c r="B60">
        <v>912.52436394854556</v>
      </c>
      <c r="C60">
        <v>-672.55436394854564</v>
      </c>
    </row>
    <row r="61" spans="1:3" x14ac:dyDescent="0.3">
      <c r="A61">
        <v>37</v>
      </c>
      <c r="B61">
        <v>912.52436394854556</v>
      </c>
      <c r="C61">
        <v>-312.55436394854553</v>
      </c>
    </row>
    <row r="62" spans="1:3" x14ac:dyDescent="0.3">
      <c r="A62">
        <v>38</v>
      </c>
      <c r="B62">
        <v>1620.1103725245221</v>
      </c>
      <c r="C62">
        <v>1879.8396274754778</v>
      </c>
    </row>
    <row r="63" spans="1:3" x14ac:dyDescent="0.3">
      <c r="A63">
        <v>39</v>
      </c>
      <c r="B63">
        <v>912.52436394854556</v>
      </c>
      <c r="C63">
        <v>-642.55436394854564</v>
      </c>
    </row>
    <row r="64" spans="1:3" x14ac:dyDescent="0.3">
      <c r="A64">
        <v>40</v>
      </c>
      <c r="B64">
        <v>204.93835537256916</v>
      </c>
      <c r="C64">
        <v>-124.94835537256917</v>
      </c>
    </row>
    <row r="65" spans="1:3" x14ac:dyDescent="0.3">
      <c r="A65">
        <v>41</v>
      </c>
      <c r="B65">
        <v>558.73135966055736</v>
      </c>
      <c r="C65">
        <v>-438.75135966055734</v>
      </c>
    </row>
    <row r="66" spans="1:3" x14ac:dyDescent="0.3">
      <c r="A66">
        <v>42</v>
      </c>
      <c r="B66">
        <v>204.93835537256916</v>
      </c>
      <c r="C66">
        <v>-114.94835537256917</v>
      </c>
    </row>
    <row r="67" spans="1:3" x14ac:dyDescent="0.3">
      <c r="A67">
        <v>43</v>
      </c>
      <c r="B67">
        <v>1620.1103725245221</v>
      </c>
      <c r="C67">
        <v>-1170.160372524522</v>
      </c>
    </row>
    <row r="68" spans="1:3" x14ac:dyDescent="0.3">
      <c r="A68">
        <v>44</v>
      </c>
      <c r="B68">
        <v>1620.1103725245221</v>
      </c>
      <c r="C68">
        <v>-370.16037252452202</v>
      </c>
    </row>
    <row r="69" spans="1:3" x14ac:dyDescent="0.3">
      <c r="A69">
        <v>45</v>
      </c>
      <c r="B69">
        <v>204.93835537256916</v>
      </c>
      <c r="C69">
        <v>-114.94835537256917</v>
      </c>
    </row>
    <row r="70" spans="1:3" x14ac:dyDescent="0.3">
      <c r="A70">
        <v>46</v>
      </c>
      <c r="B70">
        <v>558.73135966055736</v>
      </c>
      <c r="C70">
        <v>-258.75135966055734</v>
      </c>
    </row>
    <row r="71" spans="1:3" x14ac:dyDescent="0.3">
      <c r="A71">
        <v>47</v>
      </c>
      <c r="B71">
        <v>1266.3173682365336</v>
      </c>
      <c r="C71">
        <v>-1026.3573682365336</v>
      </c>
    </row>
    <row r="72" spans="1:3" x14ac:dyDescent="0.3">
      <c r="A72">
        <v>48</v>
      </c>
      <c r="B72">
        <v>1620.1103725245221</v>
      </c>
      <c r="C72">
        <v>-1170.160372524522</v>
      </c>
    </row>
    <row r="73" spans="1:3" x14ac:dyDescent="0.3">
      <c r="A73">
        <v>49</v>
      </c>
      <c r="B73">
        <v>558.73135966055736</v>
      </c>
      <c r="C73">
        <v>-378.75135966055734</v>
      </c>
    </row>
    <row r="74" spans="1:3" x14ac:dyDescent="0.3">
      <c r="A74">
        <v>50</v>
      </c>
      <c r="B74">
        <v>1620.1103725245221</v>
      </c>
      <c r="C74">
        <v>2879.8396274754778</v>
      </c>
    </row>
    <row r="75" spans="1:3" x14ac:dyDescent="0.3">
      <c r="A75">
        <v>51</v>
      </c>
      <c r="B75">
        <v>1620.1103725245221</v>
      </c>
      <c r="C75">
        <v>2879.8396274754778</v>
      </c>
    </row>
    <row r="76" spans="1:3" x14ac:dyDescent="0.3">
      <c r="A76">
        <v>52</v>
      </c>
      <c r="B76">
        <v>204.93835537256916</v>
      </c>
      <c r="C76">
        <v>-144.94835537256915</v>
      </c>
    </row>
    <row r="77" spans="1:3" x14ac:dyDescent="0.3">
      <c r="A77">
        <v>53</v>
      </c>
      <c r="B77">
        <v>558.73135966055736</v>
      </c>
      <c r="C77">
        <v>41.248640339442659</v>
      </c>
    </row>
    <row r="78" spans="1:3" x14ac:dyDescent="0.3">
      <c r="A78">
        <v>54</v>
      </c>
      <c r="B78">
        <v>1266.3173682365336</v>
      </c>
      <c r="C78">
        <v>-906.3573682365336</v>
      </c>
    </row>
    <row r="79" spans="1:3" x14ac:dyDescent="0.3">
      <c r="A79">
        <v>55</v>
      </c>
      <c r="B79">
        <v>204.93835537256916</v>
      </c>
      <c r="C79">
        <v>-124.94835537256917</v>
      </c>
    </row>
    <row r="80" spans="1:3" x14ac:dyDescent="0.3">
      <c r="A80">
        <v>56</v>
      </c>
      <c r="B80">
        <v>558.73135966055736</v>
      </c>
      <c r="C80">
        <v>-378.75135966055734</v>
      </c>
    </row>
    <row r="81" spans="1:3" x14ac:dyDescent="0.3">
      <c r="A81">
        <v>57</v>
      </c>
      <c r="B81">
        <v>912.52436394854556</v>
      </c>
      <c r="C81">
        <v>1187.4456360514546</v>
      </c>
    </row>
    <row r="82" spans="1:3" x14ac:dyDescent="0.3">
      <c r="A82">
        <v>58</v>
      </c>
      <c r="B82">
        <v>1266.3173682365336</v>
      </c>
      <c r="C82">
        <v>2333.6426317634664</v>
      </c>
    </row>
    <row r="83" spans="1:3" x14ac:dyDescent="0.3">
      <c r="A83">
        <v>59</v>
      </c>
      <c r="B83">
        <v>204.93835537256916</v>
      </c>
      <c r="C83">
        <v>-54.948355372569154</v>
      </c>
    </row>
    <row r="84" spans="1:3" x14ac:dyDescent="0.3">
      <c r="A84">
        <v>60</v>
      </c>
      <c r="B84">
        <v>558.73135966055736</v>
      </c>
      <c r="C84">
        <v>-378.75135966055734</v>
      </c>
    </row>
    <row r="85" spans="1:3" x14ac:dyDescent="0.3">
      <c r="A85">
        <v>61</v>
      </c>
      <c r="B85">
        <v>204.93835537256916</v>
      </c>
      <c r="C85">
        <v>-114.94835537256917</v>
      </c>
    </row>
    <row r="86" spans="1:3" x14ac:dyDescent="0.3">
      <c r="A86">
        <v>62</v>
      </c>
      <c r="B86">
        <v>204.93835537256916</v>
      </c>
      <c r="C86">
        <v>-114.94835537256917</v>
      </c>
    </row>
    <row r="87" spans="1:3" x14ac:dyDescent="0.3">
      <c r="A87">
        <v>63</v>
      </c>
      <c r="B87">
        <v>1620.1103725245221</v>
      </c>
      <c r="C87">
        <v>-1220.160372524522</v>
      </c>
    </row>
    <row r="88" spans="1:3" x14ac:dyDescent="0.3">
      <c r="A88">
        <v>64</v>
      </c>
      <c r="B88">
        <v>204.93835537256916</v>
      </c>
      <c r="C88">
        <v>-54.948355372569154</v>
      </c>
    </row>
    <row r="89" spans="1:3" x14ac:dyDescent="0.3">
      <c r="A89">
        <v>65</v>
      </c>
      <c r="B89">
        <v>558.73135966055736</v>
      </c>
      <c r="C89">
        <v>841.24864033944266</v>
      </c>
    </row>
    <row r="90" spans="1:3" x14ac:dyDescent="0.3">
      <c r="A90">
        <v>66</v>
      </c>
      <c r="B90">
        <v>1620.1103725245221</v>
      </c>
      <c r="C90">
        <v>-1170.160372524522</v>
      </c>
    </row>
    <row r="91" spans="1:3" x14ac:dyDescent="0.3">
      <c r="A91">
        <v>67</v>
      </c>
      <c r="B91">
        <v>1266.3173682365336</v>
      </c>
      <c r="C91">
        <v>-1026.3573682365336</v>
      </c>
    </row>
    <row r="92" spans="1:3" x14ac:dyDescent="0.3">
      <c r="A92">
        <v>68</v>
      </c>
      <c r="B92">
        <v>204.93835537256916</v>
      </c>
      <c r="C92">
        <v>-54.948355372569154</v>
      </c>
    </row>
    <row r="93" spans="1:3" x14ac:dyDescent="0.3">
      <c r="A93">
        <v>69</v>
      </c>
      <c r="B93">
        <v>204.93835537256916</v>
      </c>
      <c r="C93">
        <v>95.051644627430846</v>
      </c>
    </row>
    <row r="94" spans="1:3" x14ac:dyDescent="0.3">
      <c r="A94">
        <v>70</v>
      </c>
      <c r="B94">
        <v>558.73135966055736</v>
      </c>
      <c r="C94">
        <v>-158.75135966055734</v>
      </c>
    </row>
    <row r="95" spans="1:3" x14ac:dyDescent="0.3">
      <c r="A95">
        <v>71</v>
      </c>
      <c r="B95">
        <v>912.52436394854556</v>
      </c>
      <c r="C95">
        <v>-732.55436394854553</v>
      </c>
    </row>
    <row r="96" spans="1:3" x14ac:dyDescent="0.3">
      <c r="A96">
        <v>72</v>
      </c>
      <c r="B96">
        <v>912.52436394854556</v>
      </c>
      <c r="C96">
        <v>-462.55436394854553</v>
      </c>
    </row>
    <row r="97" spans="1:3" x14ac:dyDescent="0.3">
      <c r="A97">
        <v>73</v>
      </c>
      <c r="B97">
        <v>912.52436394854556</v>
      </c>
      <c r="C97">
        <v>-312.55436394854553</v>
      </c>
    </row>
    <row r="98" spans="1:3" x14ac:dyDescent="0.3">
      <c r="A98">
        <v>74</v>
      </c>
      <c r="B98">
        <v>204.93835537256916</v>
      </c>
      <c r="C98">
        <v>695.05164462743085</v>
      </c>
    </row>
    <row r="99" spans="1:3" x14ac:dyDescent="0.3">
      <c r="A99">
        <v>75</v>
      </c>
      <c r="B99">
        <v>1620.1103725245221</v>
      </c>
      <c r="C99">
        <v>2879.8396274754778</v>
      </c>
    </row>
    <row r="100" spans="1:3" x14ac:dyDescent="0.3">
      <c r="A100">
        <v>76</v>
      </c>
      <c r="B100">
        <v>558.73135966055736</v>
      </c>
      <c r="C100">
        <v>-438.75135966055734</v>
      </c>
    </row>
    <row r="101" spans="1:3" x14ac:dyDescent="0.3">
      <c r="A101">
        <v>77</v>
      </c>
      <c r="B101">
        <v>1266.3173682365336</v>
      </c>
      <c r="C101">
        <v>-266.3573682365336</v>
      </c>
    </row>
    <row r="102" spans="1:3" x14ac:dyDescent="0.3">
      <c r="A102">
        <v>78</v>
      </c>
      <c r="B102">
        <v>558.73135966055736</v>
      </c>
      <c r="C102">
        <v>-58.751359660557341</v>
      </c>
    </row>
    <row r="103" spans="1:3" x14ac:dyDescent="0.3">
      <c r="A103">
        <v>79</v>
      </c>
      <c r="B103">
        <v>204.93835537256916</v>
      </c>
      <c r="C103">
        <v>95.051644627430846</v>
      </c>
    </row>
    <row r="104" spans="1:3" x14ac:dyDescent="0.3">
      <c r="A104">
        <v>80</v>
      </c>
      <c r="B104">
        <v>558.73135966055736</v>
      </c>
      <c r="C104">
        <v>-378.75135966055734</v>
      </c>
    </row>
    <row r="105" spans="1:3" x14ac:dyDescent="0.3">
      <c r="A105">
        <v>81</v>
      </c>
      <c r="B105">
        <v>912.52436394854556</v>
      </c>
      <c r="C105">
        <v>-12.554363948545529</v>
      </c>
    </row>
    <row r="106" spans="1:3" x14ac:dyDescent="0.3">
      <c r="A106">
        <v>82</v>
      </c>
      <c r="B106">
        <v>558.73135966055736</v>
      </c>
      <c r="C106">
        <v>841.24864033944266</v>
      </c>
    </row>
    <row r="107" spans="1:3" x14ac:dyDescent="0.3">
      <c r="A107">
        <v>83</v>
      </c>
      <c r="B107">
        <v>1266.3173682365336</v>
      </c>
      <c r="C107">
        <v>2333.6426317634664</v>
      </c>
    </row>
    <row r="108" spans="1:3" x14ac:dyDescent="0.3">
      <c r="A108">
        <v>84</v>
      </c>
      <c r="B108">
        <v>558.73135966055736</v>
      </c>
      <c r="C108">
        <v>-258.75135966055734</v>
      </c>
    </row>
    <row r="109" spans="1:3" x14ac:dyDescent="0.3">
      <c r="A109">
        <v>85</v>
      </c>
      <c r="B109">
        <v>558.73135966055736</v>
      </c>
      <c r="C109">
        <v>-258.75135966055734</v>
      </c>
    </row>
    <row r="110" spans="1:3" x14ac:dyDescent="0.3">
      <c r="A110">
        <v>86</v>
      </c>
      <c r="B110">
        <v>204.93835537256916</v>
      </c>
      <c r="C110">
        <v>-114.94835537256917</v>
      </c>
    </row>
    <row r="111" spans="1:3" x14ac:dyDescent="0.3">
      <c r="A111">
        <v>87</v>
      </c>
      <c r="B111">
        <v>1620.1103725245221</v>
      </c>
      <c r="C111">
        <v>-120.16037252452202</v>
      </c>
    </row>
    <row r="112" spans="1:3" x14ac:dyDescent="0.3">
      <c r="A112">
        <v>88</v>
      </c>
      <c r="B112">
        <v>1266.3173682365336</v>
      </c>
      <c r="C112">
        <v>-666.3573682365336</v>
      </c>
    </row>
    <row r="113" spans="1:3" x14ac:dyDescent="0.3">
      <c r="A113">
        <v>89</v>
      </c>
      <c r="B113">
        <v>1620.1103725245221</v>
      </c>
      <c r="C113">
        <v>-370.16037252452202</v>
      </c>
    </row>
    <row r="114" spans="1:3" x14ac:dyDescent="0.3">
      <c r="A114">
        <v>90</v>
      </c>
      <c r="B114">
        <v>912.52436394854556</v>
      </c>
      <c r="C114">
        <v>-162.55436394854553</v>
      </c>
    </row>
    <row r="115" spans="1:3" x14ac:dyDescent="0.3">
      <c r="A115">
        <v>91</v>
      </c>
      <c r="B115">
        <v>1266.3173682365336</v>
      </c>
      <c r="C115">
        <v>-466.3573682365336</v>
      </c>
    </row>
    <row r="116" spans="1:3" x14ac:dyDescent="0.3">
      <c r="A116">
        <v>92</v>
      </c>
      <c r="B116">
        <v>1620.1103725245221</v>
      </c>
      <c r="C116">
        <v>-620.16037252452202</v>
      </c>
    </row>
    <row r="117" spans="1:3" x14ac:dyDescent="0.3">
      <c r="A117">
        <v>93</v>
      </c>
      <c r="B117">
        <v>558.73135966055736</v>
      </c>
      <c r="C117">
        <v>-378.75135966055734</v>
      </c>
    </row>
    <row r="118" spans="1:3" x14ac:dyDescent="0.3">
      <c r="A118">
        <v>94</v>
      </c>
      <c r="B118">
        <v>1620.1103725245221</v>
      </c>
      <c r="C118">
        <v>2879.8396274754778</v>
      </c>
    </row>
    <row r="119" spans="1:3" x14ac:dyDescent="0.3">
      <c r="A119">
        <v>95</v>
      </c>
      <c r="B119">
        <v>912.52436394854556</v>
      </c>
      <c r="C119">
        <v>-462.55436394854553</v>
      </c>
    </row>
    <row r="120" spans="1:3" x14ac:dyDescent="0.3">
      <c r="A120">
        <v>96</v>
      </c>
      <c r="B120">
        <v>1620.1103725245221</v>
      </c>
      <c r="C120">
        <v>-870.16037252452202</v>
      </c>
    </row>
    <row r="121" spans="1:3" x14ac:dyDescent="0.3">
      <c r="A121">
        <v>97</v>
      </c>
      <c r="B121">
        <v>912.52436394854556</v>
      </c>
      <c r="C121">
        <v>-672.55436394854564</v>
      </c>
    </row>
    <row r="122" spans="1:3" x14ac:dyDescent="0.3">
      <c r="A122">
        <v>98</v>
      </c>
      <c r="B122">
        <v>558.73135966055736</v>
      </c>
      <c r="C122">
        <v>-58.751359660557341</v>
      </c>
    </row>
    <row r="123" spans="1:3" x14ac:dyDescent="0.3">
      <c r="A123">
        <v>99</v>
      </c>
      <c r="B123">
        <v>204.93835537256916</v>
      </c>
      <c r="C123">
        <v>495.05164462743085</v>
      </c>
    </row>
    <row r="124" spans="1:3" x14ac:dyDescent="0.3">
      <c r="A124">
        <v>100</v>
      </c>
      <c r="B124">
        <v>912.52436394854556</v>
      </c>
      <c r="C124">
        <v>-462.55436394854553</v>
      </c>
    </row>
    <row r="125" spans="1:3" x14ac:dyDescent="0.3">
      <c r="A125">
        <v>101</v>
      </c>
      <c r="B125">
        <v>558.73135966055736</v>
      </c>
      <c r="C125">
        <v>841.24864033944266</v>
      </c>
    </row>
    <row r="126" spans="1:3" x14ac:dyDescent="0.3">
      <c r="A126">
        <v>102</v>
      </c>
      <c r="B126">
        <v>204.93835537256916</v>
      </c>
      <c r="C126">
        <v>45.051644627430846</v>
      </c>
    </row>
    <row r="127" spans="1:3" x14ac:dyDescent="0.3">
      <c r="A127">
        <v>103</v>
      </c>
      <c r="B127">
        <v>204.93835537256916</v>
      </c>
      <c r="C127">
        <v>45.051644627430846</v>
      </c>
    </row>
    <row r="128" spans="1:3" x14ac:dyDescent="0.3">
      <c r="A128">
        <v>104</v>
      </c>
      <c r="B128">
        <v>558.73135966055736</v>
      </c>
      <c r="C128">
        <v>841.24864033944266</v>
      </c>
    </row>
    <row r="129" spans="1:3" x14ac:dyDescent="0.3">
      <c r="A129">
        <v>105</v>
      </c>
      <c r="B129">
        <v>912.52436394854556</v>
      </c>
      <c r="C129">
        <v>-732.55436394854553</v>
      </c>
    </row>
    <row r="130" spans="1:3" x14ac:dyDescent="0.3">
      <c r="A130">
        <v>106</v>
      </c>
      <c r="B130">
        <v>912.52436394854556</v>
      </c>
      <c r="C130">
        <v>-732.55436394854553</v>
      </c>
    </row>
    <row r="131" spans="1:3" x14ac:dyDescent="0.3">
      <c r="A131">
        <v>107</v>
      </c>
      <c r="B131">
        <v>1266.3173682365336</v>
      </c>
      <c r="C131">
        <v>-946.3573682365336</v>
      </c>
    </row>
    <row r="132" spans="1:3" x14ac:dyDescent="0.3">
      <c r="A132">
        <v>108</v>
      </c>
      <c r="B132">
        <v>204.93835537256916</v>
      </c>
      <c r="C132">
        <v>-124.94835537256917</v>
      </c>
    </row>
    <row r="133" spans="1:3" x14ac:dyDescent="0.3">
      <c r="A133">
        <v>109</v>
      </c>
      <c r="B133">
        <v>912.52436394854556</v>
      </c>
      <c r="C133">
        <v>-12.554363948545529</v>
      </c>
    </row>
    <row r="134" spans="1:3" x14ac:dyDescent="0.3">
      <c r="A134">
        <v>110</v>
      </c>
      <c r="B134">
        <v>558.73135966055736</v>
      </c>
      <c r="C134">
        <v>-378.75135966055734</v>
      </c>
    </row>
    <row r="135" spans="1:3" x14ac:dyDescent="0.3">
      <c r="A135">
        <v>111</v>
      </c>
      <c r="B135">
        <v>1266.3173682365336</v>
      </c>
      <c r="C135">
        <v>-666.3573682365336</v>
      </c>
    </row>
    <row r="136" spans="1:3" x14ac:dyDescent="0.3">
      <c r="A136">
        <v>112</v>
      </c>
      <c r="B136">
        <v>558.73135966055736</v>
      </c>
      <c r="C136">
        <v>-58.751359660557341</v>
      </c>
    </row>
    <row r="137" spans="1:3" x14ac:dyDescent="0.3">
      <c r="A137">
        <v>113</v>
      </c>
      <c r="B137">
        <v>1266.3173682365336</v>
      </c>
      <c r="C137">
        <v>-466.3573682365336</v>
      </c>
    </row>
    <row r="138" spans="1:3" x14ac:dyDescent="0.3">
      <c r="A138">
        <v>114</v>
      </c>
      <c r="B138">
        <v>1620.1103725245221</v>
      </c>
      <c r="C138">
        <v>-1170.160372524522</v>
      </c>
    </row>
    <row r="139" spans="1:3" x14ac:dyDescent="0.3">
      <c r="A139">
        <v>115</v>
      </c>
      <c r="B139">
        <v>204.93835537256916</v>
      </c>
      <c r="C139">
        <v>-54.948355372569154</v>
      </c>
    </row>
    <row r="140" spans="1:3" x14ac:dyDescent="0.3">
      <c r="A140">
        <v>116</v>
      </c>
      <c r="B140">
        <v>1266.3173682365336</v>
      </c>
      <c r="C140">
        <v>1533.6426317634664</v>
      </c>
    </row>
    <row r="141" spans="1:3" x14ac:dyDescent="0.3">
      <c r="A141">
        <v>117</v>
      </c>
      <c r="B141">
        <v>912.52436394854556</v>
      </c>
      <c r="C141">
        <v>1787.4456360514546</v>
      </c>
    </row>
    <row r="142" spans="1:3" x14ac:dyDescent="0.3">
      <c r="A142">
        <v>118</v>
      </c>
      <c r="B142">
        <v>912.52436394854556</v>
      </c>
      <c r="C142">
        <v>-462.55436394854553</v>
      </c>
    </row>
    <row r="143" spans="1:3" x14ac:dyDescent="0.3">
      <c r="A143">
        <v>119</v>
      </c>
      <c r="B143">
        <v>558.73135966055736</v>
      </c>
      <c r="C143">
        <v>41.248640339442659</v>
      </c>
    </row>
    <row r="144" spans="1:3" x14ac:dyDescent="0.3">
      <c r="A144">
        <v>120</v>
      </c>
      <c r="B144">
        <v>204.93835537256916</v>
      </c>
      <c r="C144">
        <v>-4.9483553725691536</v>
      </c>
    </row>
    <row r="145" spans="1:3" x14ac:dyDescent="0.3">
      <c r="A145">
        <v>121</v>
      </c>
      <c r="B145">
        <v>1266.3173682365336</v>
      </c>
      <c r="C145">
        <v>-66.357368236533603</v>
      </c>
    </row>
    <row r="146" spans="1:3" x14ac:dyDescent="0.3">
      <c r="A146">
        <v>122</v>
      </c>
      <c r="B146">
        <v>558.73135966055736</v>
      </c>
      <c r="C146">
        <v>-438.75135966055734</v>
      </c>
    </row>
    <row r="147" spans="1:3" x14ac:dyDescent="0.3">
      <c r="A147">
        <v>123</v>
      </c>
      <c r="B147">
        <v>1266.3173682365336</v>
      </c>
      <c r="C147">
        <v>-666.3573682365336</v>
      </c>
    </row>
    <row r="148" spans="1:3" x14ac:dyDescent="0.3">
      <c r="A148">
        <v>124</v>
      </c>
      <c r="B148">
        <v>558.73135966055736</v>
      </c>
      <c r="C148">
        <v>841.24864033944266</v>
      </c>
    </row>
    <row r="149" spans="1:3" x14ac:dyDescent="0.3">
      <c r="A149">
        <v>125</v>
      </c>
      <c r="B149">
        <v>912.52436394854556</v>
      </c>
      <c r="C149">
        <v>-462.55436394854553</v>
      </c>
    </row>
    <row r="150" spans="1:3" x14ac:dyDescent="0.3">
      <c r="A150">
        <v>126</v>
      </c>
      <c r="B150">
        <v>912.52436394854556</v>
      </c>
      <c r="C150">
        <v>-12.554363948545529</v>
      </c>
    </row>
    <row r="151" spans="1:3" x14ac:dyDescent="0.3">
      <c r="A151">
        <v>127</v>
      </c>
      <c r="B151">
        <v>912.52436394854556</v>
      </c>
      <c r="C151">
        <v>1787.4456360514546</v>
      </c>
    </row>
    <row r="152" spans="1:3" x14ac:dyDescent="0.3">
      <c r="A152">
        <v>128</v>
      </c>
      <c r="B152">
        <v>1620.1103725245221</v>
      </c>
      <c r="C152">
        <v>1879.8396274754778</v>
      </c>
    </row>
    <row r="153" spans="1:3" x14ac:dyDescent="0.3">
      <c r="A153">
        <v>129</v>
      </c>
      <c r="B153">
        <v>1266.3173682365336</v>
      </c>
      <c r="C153">
        <v>1533.6426317634664</v>
      </c>
    </row>
    <row r="154" spans="1:3" x14ac:dyDescent="0.3">
      <c r="A154">
        <v>130</v>
      </c>
      <c r="B154">
        <v>204.93835537256916</v>
      </c>
      <c r="C154">
        <v>695.05164462743085</v>
      </c>
    </row>
    <row r="155" spans="1:3" x14ac:dyDescent="0.3">
      <c r="A155">
        <v>131</v>
      </c>
      <c r="B155">
        <v>558.73135966055736</v>
      </c>
      <c r="C155">
        <v>-258.75135966055734</v>
      </c>
    </row>
    <row r="156" spans="1:3" x14ac:dyDescent="0.3">
      <c r="A156">
        <v>132</v>
      </c>
      <c r="B156">
        <v>912.52436394854556</v>
      </c>
      <c r="C156">
        <v>-642.55436394854564</v>
      </c>
    </row>
    <row r="157" spans="1:3" x14ac:dyDescent="0.3">
      <c r="A157">
        <v>133</v>
      </c>
      <c r="B157">
        <v>558.73135966055736</v>
      </c>
      <c r="C157">
        <v>-258.75135966055734</v>
      </c>
    </row>
    <row r="158" spans="1:3" x14ac:dyDescent="0.3">
      <c r="A158">
        <v>134</v>
      </c>
      <c r="B158">
        <v>558.73135966055736</v>
      </c>
      <c r="C158">
        <v>841.24864033944266</v>
      </c>
    </row>
    <row r="159" spans="1:3" x14ac:dyDescent="0.3">
      <c r="A159">
        <v>135</v>
      </c>
      <c r="B159">
        <v>1620.1103725245221</v>
      </c>
      <c r="C159">
        <v>1879.8396274754778</v>
      </c>
    </row>
    <row r="160" spans="1:3" x14ac:dyDescent="0.3">
      <c r="A160">
        <v>136</v>
      </c>
      <c r="B160">
        <v>912.52436394854556</v>
      </c>
      <c r="C160">
        <v>-642.55436394854564</v>
      </c>
    </row>
    <row r="161" spans="1:3" x14ac:dyDescent="0.3">
      <c r="A161">
        <v>137</v>
      </c>
      <c r="B161">
        <v>1620.1103725245221</v>
      </c>
      <c r="C161">
        <v>-370.16037252452202</v>
      </c>
    </row>
    <row r="162" spans="1:3" x14ac:dyDescent="0.3">
      <c r="A162">
        <v>138</v>
      </c>
      <c r="B162">
        <v>912.52436394854556</v>
      </c>
      <c r="C162">
        <v>-12.554363948545529</v>
      </c>
    </row>
    <row r="163" spans="1:3" x14ac:dyDescent="0.3">
      <c r="A163">
        <v>139</v>
      </c>
      <c r="B163">
        <v>912.52436394854556</v>
      </c>
      <c r="C163">
        <v>-642.55436394854564</v>
      </c>
    </row>
    <row r="164" spans="1:3" x14ac:dyDescent="0.3">
      <c r="A164">
        <v>140</v>
      </c>
      <c r="B164">
        <v>558.73135966055736</v>
      </c>
      <c r="C164">
        <v>-258.75135966055734</v>
      </c>
    </row>
    <row r="165" spans="1:3" x14ac:dyDescent="0.3">
      <c r="A165">
        <v>141</v>
      </c>
      <c r="B165">
        <v>204.93835537256916</v>
      </c>
      <c r="C165">
        <v>45.051644627430846</v>
      </c>
    </row>
    <row r="166" spans="1:3" x14ac:dyDescent="0.3">
      <c r="A166">
        <v>142</v>
      </c>
      <c r="B166">
        <v>912.52436394854556</v>
      </c>
      <c r="C166">
        <v>-462.55436394854553</v>
      </c>
    </row>
    <row r="167" spans="1:3" x14ac:dyDescent="0.3">
      <c r="A167">
        <v>143</v>
      </c>
      <c r="B167">
        <v>1620.1103725245221</v>
      </c>
      <c r="C167">
        <v>-1320.160372524522</v>
      </c>
    </row>
    <row r="168" spans="1:3" x14ac:dyDescent="0.3">
      <c r="A168">
        <v>144</v>
      </c>
      <c r="B168">
        <v>1266.3173682365336</v>
      </c>
      <c r="C168">
        <v>-266.3573682365336</v>
      </c>
    </row>
    <row r="169" spans="1:3" x14ac:dyDescent="0.3">
      <c r="A169">
        <v>145</v>
      </c>
      <c r="B169">
        <v>1620.1103725245221</v>
      </c>
      <c r="C169">
        <v>-870.16037252452202</v>
      </c>
    </row>
    <row r="170" spans="1:3" x14ac:dyDescent="0.3">
      <c r="A170">
        <v>146</v>
      </c>
      <c r="B170">
        <v>912.52436394854556</v>
      </c>
      <c r="C170">
        <v>-732.55436394854553</v>
      </c>
    </row>
    <row r="171" spans="1:3" x14ac:dyDescent="0.3">
      <c r="A171">
        <v>147</v>
      </c>
      <c r="B171">
        <v>1620.1103725245221</v>
      </c>
      <c r="C171">
        <v>-870.16037252452202</v>
      </c>
    </row>
    <row r="172" spans="1:3" x14ac:dyDescent="0.3">
      <c r="A172">
        <v>148</v>
      </c>
      <c r="B172">
        <v>558.73135966055736</v>
      </c>
      <c r="C172">
        <v>841.24864033944266</v>
      </c>
    </row>
    <row r="173" spans="1:3" x14ac:dyDescent="0.3">
      <c r="A173">
        <v>149</v>
      </c>
      <c r="B173">
        <v>1266.3173682365336</v>
      </c>
      <c r="C173">
        <v>-466.3573682365336</v>
      </c>
    </row>
    <row r="174" spans="1:3" x14ac:dyDescent="0.3">
      <c r="A174">
        <v>150</v>
      </c>
      <c r="B174">
        <v>204.93835537256916</v>
      </c>
      <c r="C174">
        <v>-144.94835537256915</v>
      </c>
    </row>
    <row r="175" spans="1:3" x14ac:dyDescent="0.3">
      <c r="A175">
        <v>151</v>
      </c>
      <c r="B175">
        <v>912.52436394854556</v>
      </c>
      <c r="C175">
        <v>1187.4456360514546</v>
      </c>
    </row>
    <row r="176" spans="1:3" x14ac:dyDescent="0.3">
      <c r="A176">
        <v>152</v>
      </c>
      <c r="B176">
        <v>1620.1103725245221</v>
      </c>
      <c r="C176">
        <v>-370.16037252452202</v>
      </c>
    </row>
    <row r="177" spans="1:3" x14ac:dyDescent="0.3">
      <c r="A177">
        <v>153</v>
      </c>
      <c r="B177">
        <v>558.73135966055736</v>
      </c>
      <c r="C177">
        <v>-258.75135966055734</v>
      </c>
    </row>
    <row r="178" spans="1:3" x14ac:dyDescent="0.3">
      <c r="A178">
        <v>154</v>
      </c>
      <c r="B178">
        <v>912.52436394854556</v>
      </c>
      <c r="C178">
        <v>-12.554363948545529</v>
      </c>
    </row>
    <row r="179" spans="1:3" x14ac:dyDescent="0.3">
      <c r="A179">
        <v>155</v>
      </c>
      <c r="B179">
        <v>1620.1103725245221</v>
      </c>
      <c r="C179">
        <v>-370.16037252452202</v>
      </c>
    </row>
    <row r="180" spans="1:3" x14ac:dyDescent="0.3">
      <c r="A180">
        <v>156</v>
      </c>
      <c r="B180">
        <v>558.73135966055736</v>
      </c>
      <c r="C180">
        <v>-258.75135966055734</v>
      </c>
    </row>
    <row r="181" spans="1:3" x14ac:dyDescent="0.3">
      <c r="A181">
        <v>157</v>
      </c>
      <c r="B181">
        <v>1620.1103725245221</v>
      </c>
      <c r="C181">
        <v>1879.8396274754778</v>
      </c>
    </row>
    <row r="182" spans="1:3" x14ac:dyDescent="0.3">
      <c r="A182">
        <v>158</v>
      </c>
      <c r="B182">
        <v>1266.3173682365336</v>
      </c>
      <c r="C182">
        <v>-266.3573682365336</v>
      </c>
    </row>
    <row r="183" spans="1:3" x14ac:dyDescent="0.3">
      <c r="A183">
        <v>159</v>
      </c>
      <c r="B183">
        <v>1266.3173682365336</v>
      </c>
      <c r="C183">
        <v>1533.6426317634664</v>
      </c>
    </row>
    <row r="184" spans="1:3" x14ac:dyDescent="0.3">
      <c r="A184">
        <v>160</v>
      </c>
      <c r="B184">
        <v>558.73135966055736</v>
      </c>
      <c r="C184">
        <v>-58.751359660557341</v>
      </c>
    </row>
    <row r="185" spans="1:3" x14ac:dyDescent="0.3">
      <c r="A185">
        <v>161</v>
      </c>
      <c r="B185">
        <v>912.52436394854556</v>
      </c>
      <c r="C185">
        <v>-732.55436394854553</v>
      </c>
    </row>
    <row r="186" spans="1:3" x14ac:dyDescent="0.3">
      <c r="A186">
        <v>162</v>
      </c>
      <c r="B186">
        <v>1266.3173682365336</v>
      </c>
      <c r="C186">
        <v>-946.3573682365336</v>
      </c>
    </row>
    <row r="187" spans="1:3" x14ac:dyDescent="0.3">
      <c r="A187">
        <v>163</v>
      </c>
      <c r="B187">
        <v>912.52436394854556</v>
      </c>
      <c r="C187">
        <v>-672.55436394854564</v>
      </c>
    </row>
    <row r="188" spans="1:3" x14ac:dyDescent="0.3">
      <c r="A188">
        <v>164</v>
      </c>
      <c r="B188">
        <v>558.73135966055736</v>
      </c>
      <c r="C188">
        <v>1241.2486403394428</v>
      </c>
    </row>
    <row r="189" spans="1:3" x14ac:dyDescent="0.3">
      <c r="A189">
        <v>165</v>
      </c>
      <c r="B189">
        <v>204.93835537256916</v>
      </c>
      <c r="C189">
        <v>-54.948355372569154</v>
      </c>
    </row>
    <row r="190" spans="1:3" x14ac:dyDescent="0.3">
      <c r="A190">
        <v>166</v>
      </c>
      <c r="B190">
        <v>558.73135966055736</v>
      </c>
      <c r="C190">
        <v>41.248640339442659</v>
      </c>
    </row>
    <row r="191" spans="1:3" x14ac:dyDescent="0.3">
      <c r="A191">
        <v>167</v>
      </c>
      <c r="B191">
        <v>558.73135966055736</v>
      </c>
      <c r="C191">
        <v>-438.75135966055734</v>
      </c>
    </row>
    <row r="192" spans="1:3" x14ac:dyDescent="0.3">
      <c r="A192">
        <v>168</v>
      </c>
      <c r="B192">
        <v>204.93835537256916</v>
      </c>
      <c r="C192">
        <v>-114.94835537256917</v>
      </c>
    </row>
    <row r="193" spans="1:3" x14ac:dyDescent="0.3">
      <c r="A193">
        <v>169</v>
      </c>
      <c r="B193">
        <v>1620.1103725245221</v>
      </c>
      <c r="C193">
        <v>2879.8396274754778</v>
      </c>
    </row>
    <row r="194" spans="1:3" x14ac:dyDescent="0.3">
      <c r="A194">
        <v>170</v>
      </c>
      <c r="B194">
        <v>558.73135966055736</v>
      </c>
      <c r="C194">
        <v>-258.75135966055734</v>
      </c>
    </row>
    <row r="195" spans="1:3" x14ac:dyDescent="0.3">
      <c r="A195">
        <v>171</v>
      </c>
      <c r="B195">
        <v>558.73135966055736</v>
      </c>
      <c r="C195">
        <v>-258.75135966055734</v>
      </c>
    </row>
    <row r="196" spans="1:3" x14ac:dyDescent="0.3">
      <c r="A196">
        <v>172</v>
      </c>
      <c r="B196">
        <v>912.52436394854556</v>
      </c>
      <c r="C196">
        <v>-462.55436394854553</v>
      </c>
    </row>
    <row r="197" spans="1:3" x14ac:dyDescent="0.3">
      <c r="A197">
        <v>173</v>
      </c>
      <c r="B197">
        <v>558.73135966055736</v>
      </c>
      <c r="C197">
        <v>41.248640339442659</v>
      </c>
    </row>
    <row r="198" spans="1:3" x14ac:dyDescent="0.3">
      <c r="A198">
        <v>174</v>
      </c>
      <c r="B198">
        <v>558.73135966055736</v>
      </c>
      <c r="C198">
        <v>41.248640339442659</v>
      </c>
    </row>
    <row r="199" spans="1:3" x14ac:dyDescent="0.3">
      <c r="A199">
        <v>175</v>
      </c>
      <c r="B199">
        <v>1266.3173682365336</v>
      </c>
      <c r="C199">
        <v>-466.3573682365336</v>
      </c>
    </row>
    <row r="200" spans="1:3" x14ac:dyDescent="0.3">
      <c r="A200">
        <v>176</v>
      </c>
      <c r="B200">
        <v>204.93835537256916</v>
      </c>
      <c r="C200">
        <v>-114.94835537256917</v>
      </c>
    </row>
    <row r="201" spans="1:3" x14ac:dyDescent="0.3">
      <c r="A201">
        <v>177</v>
      </c>
      <c r="B201">
        <v>1620.1103725245221</v>
      </c>
      <c r="C201">
        <v>-870.16037252452202</v>
      </c>
    </row>
    <row r="202" spans="1:3" x14ac:dyDescent="0.3">
      <c r="A202">
        <v>178</v>
      </c>
      <c r="B202">
        <v>204.93835537256916</v>
      </c>
      <c r="C202">
        <v>695.05164462743085</v>
      </c>
    </row>
    <row r="203" spans="1:3" x14ac:dyDescent="0.3">
      <c r="A203">
        <v>179</v>
      </c>
      <c r="B203">
        <v>558.73135966055736</v>
      </c>
      <c r="C203">
        <v>-378.75135966055734</v>
      </c>
    </row>
    <row r="204" spans="1:3" x14ac:dyDescent="0.3">
      <c r="A204">
        <v>180</v>
      </c>
      <c r="B204">
        <v>204.93835537256916</v>
      </c>
      <c r="C204">
        <v>695.05164462743085</v>
      </c>
    </row>
    <row r="205" spans="1:3" x14ac:dyDescent="0.3">
      <c r="A205">
        <v>181</v>
      </c>
      <c r="B205">
        <v>1620.1103725245221</v>
      </c>
      <c r="C205">
        <v>-870.16037252452202</v>
      </c>
    </row>
    <row r="206" spans="1:3" x14ac:dyDescent="0.3">
      <c r="A206">
        <v>182</v>
      </c>
      <c r="B206">
        <v>912.52436394854556</v>
      </c>
      <c r="C206">
        <v>-12.554363948545529</v>
      </c>
    </row>
    <row r="207" spans="1:3" x14ac:dyDescent="0.3">
      <c r="A207">
        <v>183</v>
      </c>
      <c r="B207">
        <v>912.52436394854556</v>
      </c>
      <c r="C207">
        <v>1187.4456360514546</v>
      </c>
    </row>
    <row r="208" spans="1:3" x14ac:dyDescent="0.3">
      <c r="A208">
        <v>184</v>
      </c>
      <c r="B208">
        <v>1620.1103725245221</v>
      </c>
      <c r="C208">
        <v>-620.16037252452202</v>
      </c>
    </row>
    <row r="209" spans="1:3" x14ac:dyDescent="0.3">
      <c r="A209">
        <v>185</v>
      </c>
      <c r="B209">
        <v>1620.1103725245221</v>
      </c>
      <c r="C209">
        <v>-370.16037252452202</v>
      </c>
    </row>
    <row r="210" spans="1:3" x14ac:dyDescent="0.3">
      <c r="A210">
        <v>186</v>
      </c>
      <c r="B210">
        <v>1266.3173682365336</v>
      </c>
      <c r="C210">
        <v>-666.3573682365336</v>
      </c>
    </row>
    <row r="211" spans="1:3" x14ac:dyDescent="0.3">
      <c r="A211">
        <v>187</v>
      </c>
      <c r="B211">
        <v>912.52436394854556</v>
      </c>
      <c r="C211">
        <v>1187.4456360514546</v>
      </c>
    </row>
    <row r="212" spans="1:3" x14ac:dyDescent="0.3">
      <c r="A212">
        <v>188</v>
      </c>
      <c r="B212">
        <v>204.93835537256916</v>
      </c>
      <c r="C212">
        <v>-124.94835537256917</v>
      </c>
    </row>
    <row r="213" spans="1:3" x14ac:dyDescent="0.3">
      <c r="A213">
        <v>189</v>
      </c>
      <c r="B213">
        <v>204.93835537256916</v>
      </c>
      <c r="C213">
        <v>95.051644627430846</v>
      </c>
    </row>
    <row r="214" spans="1:3" x14ac:dyDescent="0.3">
      <c r="A214">
        <v>190</v>
      </c>
      <c r="B214">
        <v>1266.3173682365336</v>
      </c>
      <c r="C214">
        <v>-266.3573682365336</v>
      </c>
    </row>
    <row r="215" spans="1:3" x14ac:dyDescent="0.3">
      <c r="A215">
        <v>191</v>
      </c>
      <c r="B215">
        <v>558.73135966055736</v>
      </c>
      <c r="C215">
        <v>-258.75135966055734</v>
      </c>
    </row>
    <row r="216" spans="1:3" x14ac:dyDescent="0.3">
      <c r="A216">
        <v>192</v>
      </c>
      <c r="B216">
        <v>912.52436394854556</v>
      </c>
      <c r="C216">
        <v>-12.554363948545529</v>
      </c>
    </row>
    <row r="217" spans="1:3" x14ac:dyDescent="0.3">
      <c r="A217">
        <v>193</v>
      </c>
      <c r="B217">
        <v>1266.3173682365336</v>
      </c>
      <c r="C217">
        <v>-466.3573682365336</v>
      </c>
    </row>
    <row r="218" spans="1:3" x14ac:dyDescent="0.3">
      <c r="A218">
        <v>194</v>
      </c>
      <c r="B218">
        <v>1620.1103725245221</v>
      </c>
      <c r="C218">
        <v>-120.16037252452202</v>
      </c>
    </row>
    <row r="219" spans="1:3" x14ac:dyDescent="0.3">
      <c r="A219">
        <v>195</v>
      </c>
      <c r="B219">
        <v>912.52436394854556</v>
      </c>
      <c r="C219">
        <v>-462.55436394854553</v>
      </c>
    </row>
    <row r="220" spans="1:3" x14ac:dyDescent="0.3">
      <c r="A220">
        <v>196</v>
      </c>
      <c r="B220">
        <v>1620.1103725245221</v>
      </c>
      <c r="C220">
        <v>-1320.160372524522</v>
      </c>
    </row>
    <row r="221" spans="1:3" x14ac:dyDescent="0.3">
      <c r="A221">
        <v>197</v>
      </c>
      <c r="B221">
        <v>1266.3173682365336</v>
      </c>
      <c r="C221">
        <v>-1026.3573682365336</v>
      </c>
    </row>
    <row r="222" spans="1:3" x14ac:dyDescent="0.3">
      <c r="A222">
        <v>198</v>
      </c>
      <c r="B222">
        <v>1266.3173682365336</v>
      </c>
      <c r="C222">
        <v>-266.3573682365336</v>
      </c>
    </row>
    <row r="223" spans="1:3" x14ac:dyDescent="0.3">
      <c r="A223">
        <v>199</v>
      </c>
      <c r="B223">
        <v>1266.3173682365336</v>
      </c>
      <c r="C223">
        <v>2333.6426317634664</v>
      </c>
    </row>
    <row r="224" spans="1:3" x14ac:dyDescent="0.3">
      <c r="A224">
        <v>200</v>
      </c>
      <c r="B224">
        <v>912.52436394854556</v>
      </c>
      <c r="C224">
        <v>-12.554363948545529</v>
      </c>
    </row>
    <row r="225" spans="1:3" x14ac:dyDescent="0.3">
      <c r="A225">
        <v>201</v>
      </c>
      <c r="B225">
        <v>558.73135966055736</v>
      </c>
      <c r="C225">
        <v>841.24864033944266</v>
      </c>
    </row>
    <row r="226" spans="1:3" x14ac:dyDescent="0.3">
      <c r="A226">
        <v>202</v>
      </c>
      <c r="B226">
        <v>1266.3173682365336</v>
      </c>
      <c r="C226">
        <v>1533.6426317634664</v>
      </c>
    </row>
    <row r="227" spans="1:3" x14ac:dyDescent="0.3">
      <c r="A227">
        <v>203</v>
      </c>
      <c r="B227">
        <v>558.73135966055736</v>
      </c>
      <c r="C227">
        <v>-378.75135966055734</v>
      </c>
    </row>
    <row r="228" spans="1:3" x14ac:dyDescent="0.3">
      <c r="A228">
        <v>204</v>
      </c>
      <c r="B228">
        <v>912.52436394854556</v>
      </c>
      <c r="C228">
        <v>-642.55436394854564</v>
      </c>
    </row>
    <row r="229" spans="1:3" x14ac:dyDescent="0.3">
      <c r="A229">
        <v>205</v>
      </c>
      <c r="B229">
        <v>204.93835537256916</v>
      </c>
      <c r="C229">
        <v>-144.94835537256915</v>
      </c>
    </row>
    <row r="230" spans="1:3" x14ac:dyDescent="0.3">
      <c r="A230">
        <v>206</v>
      </c>
      <c r="B230">
        <v>912.52436394854556</v>
      </c>
      <c r="C230">
        <v>-462.55436394854553</v>
      </c>
    </row>
    <row r="231" spans="1:3" x14ac:dyDescent="0.3">
      <c r="A231">
        <v>207</v>
      </c>
      <c r="B231">
        <v>1620.1103725245221</v>
      </c>
      <c r="C231">
        <v>-120.16037252452202</v>
      </c>
    </row>
    <row r="232" spans="1:3" x14ac:dyDescent="0.3">
      <c r="A232">
        <v>208</v>
      </c>
      <c r="B232">
        <v>1620.1103725245221</v>
      </c>
      <c r="C232">
        <v>-1320.160372524522</v>
      </c>
    </row>
    <row r="233" spans="1:3" x14ac:dyDescent="0.3">
      <c r="A233">
        <v>209</v>
      </c>
      <c r="B233">
        <v>912.52436394854556</v>
      </c>
      <c r="C233">
        <v>-672.55436394854564</v>
      </c>
    </row>
    <row r="234" spans="1:3" x14ac:dyDescent="0.3">
      <c r="A234">
        <v>210</v>
      </c>
      <c r="B234">
        <v>912.52436394854556</v>
      </c>
      <c r="C234">
        <v>-312.55436394854553</v>
      </c>
    </row>
    <row r="235" spans="1:3" x14ac:dyDescent="0.3">
      <c r="A235">
        <v>211</v>
      </c>
      <c r="B235">
        <v>558.73135966055736</v>
      </c>
      <c r="C235">
        <v>-378.75135966055734</v>
      </c>
    </row>
    <row r="236" spans="1:3" x14ac:dyDescent="0.3">
      <c r="A236">
        <v>212</v>
      </c>
      <c r="B236">
        <v>558.73135966055736</v>
      </c>
      <c r="C236">
        <v>-258.75135966055734</v>
      </c>
    </row>
    <row r="237" spans="1:3" x14ac:dyDescent="0.3">
      <c r="A237">
        <v>213</v>
      </c>
      <c r="B237">
        <v>1620.1103725245221</v>
      </c>
      <c r="C237">
        <v>1879.8396274754778</v>
      </c>
    </row>
    <row r="238" spans="1:3" x14ac:dyDescent="0.3">
      <c r="A238">
        <v>214</v>
      </c>
      <c r="B238">
        <v>912.52436394854556</v>
      </c>
      <c r="C238">
        <v>-462.55436394854553</v>
      </c>
    </row>
    <row r="239" spans="1:3" x14ac:dyDescent="0.3">
      <c r="A239">
        <v>215</v>
      </c>
      <c r="B239">
        <v>912.52436394854556</v>
      </c>
      <c r="C239">
        <v>1787.4456360514546</v>
      </c>
    </row>
    <row r="240" spans="1:3" x14ac:dyDescent="0.3">
      <c r="A240">
        <v>216</v>
      </c>
      <c r="B240">
        <v>912.52436394854556</v>
      </c>
      <c r="C240">
        <v>-312.55436394854553</v>
      </c>
    </row>
    <row r="241" spans="1:3" x14ac:dyDescent="0.3">
      <c r="A241">
        <v>217</v>
      </c>
      <c r="B241">
        <v>1620.1103725245221</v>
      </c>
      <c r="C241">
        <v>-120.16037252452202</v>
      </c>
    </row>
    <row r="242" spans="1:3" x14ac:dyDescent="0.3">
      <c r="A242">
        <v>218</v>
      </c>
      <c r="B242">
        <v>204.93835537256916</v>
      </c>
      <c r="C242">
        <v>495.05164462743085</v>
      </c>
    </row>
    <row r="243" spans="1:3" x14ac:dyDescent="0.3">
      <c r="A243">
        <v>219</v>
      </c>
      <c r="B243">
        <v>204.93835537256916</v>
      </c>
      <c r="C243">
        <v>495.05164462743085</v>
      </c>
    </row>
    <row r="244" spans="1:3" x14ac:dyDescent="0.3">
      <c r="A244">
        <v>220</v>
      </c>
      <c r="B244">
        <v>1266.3173682365336</v>
      </c>
      <c r="C244">
        <v>-666.3573682365336</v>
      </c>
    </row>
    <row r="245" spans="1:3" x14ac:dyDescent="0.3">
      <c r="A245">
        <v>221</v>
      </c>
      <c r="B245">
        <v>1620.1103725245221</v>
      </c>
      <c r="C245">
        <v>-1170.160372524522</v>
      </c>
    </row>
    <row r="246" spans="1:3" x14ac:dyDescent="0.3">
      <c r="A246">
        <v>222</v>
      </c>
      <c r="B246">
        <v>558.73135966055736</v>
      </c>
      <c r="C246">
        <v>-158.75135966055734</v>
      </c>
    </row>
    <row r="247" spans="1:3" x14ac:dyDescent="0.3">
      <c r="A247">
        <v>223</v>
      </c>
      <c r="B247">
        <v>1266.3173682365336</v>
      </c>
      <c r="C247">
        <v>-1026.3573682365336</v>
      </c>
    </row>
    <row r="248" spans="1:3" x14ac:dyDescent="0.3">
      <c r="A248">
        <v>224</v>
      </c>
      <c r="B248">
        <v>558.73135966055736</v>
      </c>
      <c r="C248">
        <v>41.248640339442659</v>
      </c>
    </row>
    <row r="249" spans="1:3" x14ac:dyDescent="0.3">
      <c r="A249">
        <v>225</v>
      </c>
      <c r="B249">
        <v>558.73135966055736</v>
      </c>
      <c r="C249">
        <v>-258.75135966055734</v>
      </c>
    </row>
    <row r="250" spans="1:3" x14ac:dyDescent="0.3">
      <c r="A250">
        <v>226</v>
      </c>
      <c r="B250">
        <v>1620.1103725245221</v>
      </c>
      <c r="C250">
        <v>1879.8396274754778</v>
      </c>
    </row>
    <row r="251" spans="1:3" x14ac:dyDescent="0.3">
      <c r="A251">
        <v>227</v>
      </c>
      <c r="B251">
        <v>1620.1103725245221</v>
      </c>
      <c r="C251">
        <v>-1320.160372524522</v>
      </c>
    </row>
    <row r="252" spans="1:3" x14ac:dyDescent="0.3">
      <c r="A252">
        <v>228</v>
      </c>
      <c r="B252">
        <v>558.73135966055736</v>
      </c>
      <c r="C252">
        <v>-378.75135966055734</v>
      </c>
    </row>
    <row r="253" spans="1:3" x14ac:dyDescent="0.3">
      <c r="A253">
        <v>229</v>
      </c>
      <c r="B253">
        <v>1620.1103725245221</v>
      </c>
      <c r="C253">
        <v>-370.16037252452202</v>
      </c>
    </row>
    <row r="254" spans="1:3" x14ac:dyDescent="0.3">
      <c r="A254">
        <v>230</v>
      </c>
      <c r="B254">
        <v>558.73135966055736</v>
      </c>
      <c r="C254">
        <v>-258.75135966055734</v>
      </c>
    </row>
    <row r="255" spans="1:3" x14ac:dyDescent="0.3">
      <c r="A255">
        <v>231</v>
      </c>
      <c r="B255">
        <v>1620.1103725245221</v>
      </c>
      <c r="C255">
        <v>2879.8396274754778</v>
      </c>
    </row>
    <row r="256" spans="1:3" x14ac:dyDescent="0.3">
      <c r="A256">
        <v>232</v>
      </c>
      <c r="B256">
        <v>1266.3173682365336</v>
      </c>
      <c r="C256">
        <v>-666.3573682365336</v>
      </c>
    </row>
    <row r="257" spans="1:3" x14ac:dyDescent="0.3">
      <c r="A257">
        <v>233</v>
      </c>
      <c r="B257">
        <v>204.93835537256916</v>
      </c>
      <c r="C257">
        <v>45.051644627430846</v>
      </c>
    </row>
    <row r="258" spans="1:3" x14ac:dyDescent="0.3">
      <c r="A258">
        <v>234</v>
      </c>
      <c r="B258">
        <v>558.73135966055736</v>
      </c>
      <c r="C258">
        <v>-438.75135966055734</v>
      </c>
    </row>
    <row r="259" spans="1:3" x14ac:dyDescent="0.3">
      <c r="A259">
        <v>235</v>
      </c>
      <c r="B259">
        <v>558.73135966055736</v>
      </c>
      <c r="C259">
        <v>-258.75135966055734</v>
      </c>
    </row>
    <row r="260" spans="1:3" x14ac:dyDescent="0.3">
      <c r="A260">
        <v>236</v>
      </c>
      <c r="B260">
        <v>912.52436394854556</v>
      </c>
      <c r="C260">
        <v>1787.4456360514546</v>
      </c>
    </row>
    <row r="261" spans="1:3" x14ac:dyDescent="0.3">
      <c r="A261">
        <v>237</v>
      </c>
      <c r="B261">
        <v>912.52436394854556</v>
      </c>
      <c r="C261">
        <v>1787.4456360514546</v>
      </c>
    </row>
    <row r="262" spans="1:3" x14ac:dyDescent="0.3">
      <c r="A262">
        <v>238</v>
      </c>
      <c r="B262">
        <v>912.52436394854556</v>
      </c>
      <c r="C262">
        <v>-12.554363948545529</v>
      </c>
    </row>
    <row r="263" spans="1:3" x14ac:dyDescent="0.3">
      <c r="A263">
        <v>239</v>
      </c>
      <c r="B263">
        <v>1266.3173682365336</v>
      </c>
      <c r="C263">
        <v>-666.3573682365336</v>
      </c>
    </row>
    <row r="264" spans="1:3" x14ac:dyDescent="0.3">
      <c r="A264">
        <v>240</v>
      </c>
      <c r="B264">
        <v>1266.3173682365336</v>
      </c>
      <c r="C264">
        <v>-946.3573682365336</v>
      </c>
    </row>
    <row r="265" spans="1:3" x14ac:dyDescent="0.3">
      <c r="A265">
        <v>241</v>
      </c>
      <c r="B265">
        <v>1620.1103725245221</v>
      </c>
      <c r="C265">
        <v>-1170.160372524522</v>
      </c>
    </row>
    <row r="266" spans="1:3" x14ac:dyDescent="0.3">
      <c r="A266">
        <v>242</v>
      </c>
      <c r="B266">
        <v>912.52436394854556</v>
      </c>
      <c r="C266">
        <v>-462.55436394854553</v>
      </c>
    </row>
    <row r="267" spans="1:3" x14ac:dyDescent="0.3">
      <c r="A267">
        <v>243</v>
      </c>
      <c r="B267">
        <v>558.73135966055736</v>
      </c>
      <c r="C267">
        <v>-378.75135966055734</v>
      </c>
    </row>
    <row r="268" spans="1:3" x14ac:dyDescent="0.3">
      <c r="A268">
        <v>244</v>
      </c>
      <c r="B268">
        <v>558.73135966055736</v>
      </c>
      <c r="C268">
        <v>841.24864033944266</v>
      </c>
    </row>
    <row r="269" spans="1:3" x14ac:dyDescent="0.3">
      <c r="A269">
        <v>245</v>
      </c>
      <c r="B269">
        <v>912.52436394854556</v>
      </c>
      <c r="C269">
        <v>1787.4456360514546</v>
      </c>
    </row>
    <row r="270" spans="1:3" x14ac:dyDescent="0.3">
      <c r="A270">
        <v>246</v>
      </c>
      <c r="B270">
        <v>912.52436394854556</v>
      </c>
      <c r="C270">
        <v>-672.55436394854564</v>
      </c>
    </row>
    <row r="271" spans="1:3" x14ac:dyDescent="0.3">
      <c r="A271">
        <v>247</v>
      </c>
      <c r="B271">
        <v>204.93835537256916</v>
      </c>
      <c r="C271">
        <v>-114.94835537256917</v>
      </c>
    </row>
    <row r="272" spans="1:3" x14ac:dyDescent="0.3">
      <c r="A272">
        <v>248</v>
      </c>
      <c r="B272">
        <v>912.52436394854556</v>
      </c>
      <c r="C272">
        <v>1187.4456360514546</v>
      </c>
    </row>
    <row r="273" spans="1:3" x14ac:dyDescent="0.3">
      <c r="A273">
        <v>249</v>
      </c>
      <c r="B273">
        <v>558.73135966055736</v>
      </c>
      <c r="C273">
        <v>-378.75135966055734</v>
      </c>
    </row>
    <row r="274" spans="1:3" ht="15" thickBot="1" x14ac:dyDescent="0.35">
      <c r="A274" s="11">
        <v>250</v>
      </c>
      <c r="B274" s="11">
        <v>912.52436394854556</v>
      </c>
      <c r="C274" s="11">
        <v>-642.55436394854564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6"/>
  <sheetViews>
    <sheetView topLeftCell="A80" workbookViewId="0">
      <selection activeCell="C2" sqref="C2"/>
    </sheetView>
  </sheetViews>
  <sheetFormatPr defaultRowHeight="14.4" x14ac:dyDescent="0.3"/>
  <cols>
    <col min="1" max="1" width="20.5546875" bestFit="1" customWidth="1"/>
    <col min="2" max="2" width="20.44140625" customWidth="1"/>
  </cols>
  <sheetData>
    <row r="1" spans="1:2" x14ac:dyDescent="0.3">
      <c r="A1" t="s">
        <v>454</v>
      </c>
    </row>
    <row r="3" spans="1:2" x14ac:dyDescent="0.3">
      <c r="A3" s="27" t="s">
        <v>449</v>
      </c>
      <c r="B3" t="s">
        <v>453</v>
      </c>
    </row>
    <row r="4" spans="1:2" x14ac:dyDescent="0.3">
      <c r="A4" s="28" t="s">
        <v>388</v>
      </c>
      <c r="B4">
        <v>599.96</v>
      </c>
    </row>
    <row r="5" spans="1:2" x14ac:dyDescent="0.3">
      <c r="A5" s="29" t="s">
        <v>389</v>
      </c>
      <c r="B5">
        <v>599.96</v>
      </c>
    </row>
    <row r="6" spans="1:2" x14ac:dyDescent="0.3">
      <c r="A6" s="28" t="s">
        <v>134</v>
      </c>
      <c r="B6">
        <v>1229.8800000000001</v>
      </c>
    </row>
    <row r="7" spans="1:2" x14ac:dyDescent="0.3">
      <c r="A7" s="29" t="s">
        <v>135</v>
      </c>
      <c r="B7">
        <v>1229.8800000000001</v>
      </c>
    </row>
    <row r="8" spans="1:2" x14ac:dyDescent="0.3">
      <c r="A8" s="28" t="s">
        <v>44</v>
      </c>
      <c r="B8">
        <v>6169.7400000000007</v>
      </c>
    </row>
    <row r="9" spans="1:2" x14ac:dyDescent="0.3">
      <c r="A9" s="29" t="s">
        <v>45</v>
      </c>
      <c r="B9">
        <v>6169.7400000000007</v>
      </c>
    </row>
    <row r="10" spans="1:2" x14ac:dyDescent="0.3">
      <c r="A10" s="28" t="s">
        <v>156</v>
      </c>
      <c r="B10">
        <v>5499.8099999999995</v>
      </c>
    </row>
    <row r="11" spans="1:2" x14ac:dyDescent="0.3">
      <c r="A11" s="29" t="s">
        <v>157</v>
      </c>
      <c r="B11">
        <v>5499.8099999999995</v>
      </c>
    </row>
    <row r="12" spans="1:2" x14ac:dyDescent="0.3">
      <c r="A12" s="28" t="s">
        <v>306</v>
      </c>
      <c r="B12">
        <v>179.97</v>
      </c>
    </row>
    <row r="13" spans="1:2" x14ac:dyDescent="0.3">
      <c r="A13" s="29" t="s">
        <v>307</v>
      </c>
      <c r="B13">
        <v>179.97</v>
      </c>
    </row>
    <row r="14" spans="1:2" x14ac:dyDescent="0.3">
      <c r="A14" s="28" t="s">
        <v>131</v>
      </c>
      <c r="B14">
        <v>2039.8000000000002</v>
      </c>
    </row>
    <row r="15" spans="1:2" x14ac:dyDescent="0.3">
      <c r="A15" s="29" t="s">
        <v>132</v>
      </c>
      <c r="B15">
        <v>2039.8000000000002</v>
      </c>
    </row>
    <row r="16" spans="1:2" x14ac:dyDescent="0.3">
      <c r="A16" s="28" t="s">
        <v>184</v>
      </c>
      <c r="B16">
        <v>1809.8400000000001</v>
      </c>
    </row>
    <row r="17" spans="1:2" x14ac:dyDescent="0.3">
      <c r="A17" s="29" t="s">
        <v>185</v>
      </c>
      <c r="B17">
        <v>1809.8400000000001</v>
      </c>
    </row>
    <row r="18" spans="1:2" x14ac:dyDescent="0.3">
      <c r="A18" s="28" t="s">
        <v>143</v>
      </c>
      <c r="B18">
        <v>4739.8500000000004</v>
      </c>
    </row>
    <row r="19" spans="1:2" x14ac:dyDescent="0.3">
      <c r="A19" s="29" t="s">
        <v>144</v>
      </c>
      <c r="B19">
        <v>4739.8500000000004</v>
      </c>
    </row>
    <row r="20" spans="1:2" x14ac:dyDescent="0.3">
      <c r="A20" s="28" t="s">
        <v>61</v>
      </c>
      <c r="B20">
        <v>3509.9</v>
      </c>
    </row>
    <row r="21" spans="1:2" x14ac:dyDescent="0.3">
      <c r="A21" s="29" t="s">
        <v>62</v>
      </c>
      <c r="B21">
        <v>3509.9</v>
      </c>
    </row>
    <row r="22" spans="1:2" x14ac:dyDescent="0.3">
      <c r="A22" s="28" t="s">
        <v>91</v>
      </c>
      <c r="B22">
        <v>1909.93</v>
      </c>
    </row>
    <row r="23" spans="1:2" x14ac:dyDescent="0.3">
      <c r="A23" s="29" t="s">
        <v>92</v>
      </c>
      <c r="B23">
        <v>1909.93</v>
      </c>
    </row>
    <row r="24" spans="1:2" x14ac:dyDescent="0.3">
      <c r="A24" s="28" t="s">
        <v>254</v>
      </c>
      <c r="B24">
        <v>4749.91</v>
      </c>
    </row>
    <row r="25" spans="1:2" x14ac:dyDescent="0.3">
      <c r="A25" s="29" t="s">
        <v>255</v>
      </c>
      <c r="B25">
        <v>4749.91</v>
      </c>
    </row>
    <row r="26" spans="1:2" x14ac:dyDescent="0.3">
      <c r="A26" s="28" t="s">
        <v>101</v>
      </c>
      <c r="B26">
        <v>9799.73</v>
      </c>
    </row>
    <row r="27" spans="1:2" x14ac:dyDescent="0.3">
      <c r="A27" s="29" t="s">
        <v>102</v>
      </c>
      <c r="B27">
        <v>9799.73</v>
      </c>
    </row>
    <row r="28" spans="1:2" x14ac:dyDescent="0.3">
      <c r="A28" s="28" t="s">
        <v>26</v>
      </c>
      <c r="B28">
        <v>6949.84</v>
      </c>
    </row>
    <row r="29" spans="1:2" x14ac:dyDescent="0.3">
      <c r="A29" s="29" t="s">
        <v>27</v>
      </c>
      <c r="B29">
        <v>6949.84</v>
      </c>
    </row>
    <row r="30" spans="1:2" x14ac:dyDescent="0.3">
      <c r="A30" s="28" t="s">
        <v>114</v>
      </c>
      <c r="B30">
        <v>1289.9000000000001</v>
      </c>
    </row>
    <row r="31" spans="1:2" x14ac:dyDescent="0.3">
      <c r="A31" s="29" t="s">
        <v>115</v>
      </c>
      <c r="B31">
        <v>1289.9000000000001</v>
      </c>
    </row>
    <row r="32" spans="1:2" x14ac:dyDescent="0.3">
      <c r="A32" s="28" t="s">
        <v>261</v>
      </c>
      <c r="B32">
        <v>739.93000000000006</v>
      </c>
    </row>
    <row r="33" spans="1:2" x14ac:dyDescent="0.3">
      <c r="A33" s="29" t="s">
        <v>262</v>
      </c>
      <c r="B33">
        <v>739.93000000000006</v>
      </c>
    </row>
    <row r="34" spans="1:2" x14ac:dyDescent="0.3">
      <c r="A34" s="28" t="s">
        <v>213</v>
      </c>
      <c r="B34">
        <v>3649.86</v>
      </c>
    </row>
    <row r="35" spans="1:2" x14ac:dyDescent="0.3">
      <c r="A35" s="29" t="s">
        <v>214</v>
      </c>
      <c r="B35">
        <v>3649.86</v>
      </c>
    </row>
    <row r="36" spans="1:2" x14ac:dyDescent="0.3">
      <c r="A36" s="28" t="s">
        <v>57</v>
      </c>
      <c r="B36">
        <v>5089.7300000000005</v>
      </c>
    </row>
    <row r="37" spans="1:2" x14ac:dyDescent="0.3">
      <c r="A37" s="29" t="s">
        <v>58</v>
      </c>
      <c r="B37">
        <v>5089.7300000000005</v>
      </c>
    </row>
    <row r="38" spans="1:2" x14ac:dyDescent="0.3">
      <c r="A38" s="28" t="s">
        <v>98</v>
      </c>
      <c r="B38">
        <v>10649.8</v>
      </c>
    </row>
    <row r="39" spans="1:2" x14ac:dyDescent="0.3">
      <c r="A39" s="29" t="s">
        <v>99</v>
      </c>
      <c r="B39">
        <v>10649.8</v>
      </c>
    </row>
    <row r="40" spans="1:2" x14ac:dyDescent="0.3">
      <c r="A40" s="28" t="s">
        <v>149</v>
      </c>
      <c r="B40">
        <v>7309.7999999999993</v>
      </c>
    </row>
    <row r="41" spans="1:2" x14ac:dyDescent="0.3">
      <c r="A41" s="29" t="s">
        <v>150</v>
      </c>
      <c r="B41">
        <v>7309.7999999999993</v>
      </c>
    </row>
    <row r="42" spans="1:2" x14ac:dyDescent="0.3">
      <c r="A42" s="28" t="s">
        <v>187</v>
      </c>
      <c r="B42">
        <v>2099.88</v>
      </c>
    </row>
    <row r="43" spans="1:2" x14ac:dyDescent="0.3">
      <c r="A43" s="29" t="s">
        <v>188</v>
      </c>
      <c r="B43">
        <v>2099.88</v>
      </c>
    </row>
    <row r="44" spans="1:2" x14ac:dyDescent="0.3">
      <c r="A44" s="28" t="s">
        <v>31</v>
      </c>
      <c r="B44">
        <v>3259.8699999999994</v>
      </c>
    </row>
    <row r="45" spans="1:2" x14ac:dyDescent="0.3">
      <c r="A45" s="29" t="s">
        <v>32</v>
      </c>
      <c r="B45">
        <v>3259.8699999999994</v>
      </c>
    </row>
    <row r="46" spans="1:2" x14ac:dyDescent="0.3">
      <c r="A46" s="28" t="s">
        <v>70</v>
      </c>
      <c r="B46">
        <v>1979.89</v>
      </c>
    </row>
    <row r="47" spans="1:2" x14ac:dyDescent="0.3">
      <c r="A47" s="29" t="s">
        <v>71</v>
      </c>
      <c r="B47">
        <v>1979.89</v>
      </c>
    </row>
    <row r="48" spans="1:2" x14ac:dyDescent="0.3">
      <c r="A48" s="28" t="s">
        <v>17</v>
      </c>
      <c r="B48">
        <v>8309.74</v>
      </c>
    </row>
    <row r="49" spans="1:2" x14ac:dyDescent="0.3">
      <c r="A49" s="29" t="s">
        <v>18</v>
      </c>
      <c r="B49">
        <v>8309.74</v>
      </c>
    </row>
    <row r="50" spans="1:2" x14ac:dyDescent="0.3">
      <c r="A50" s="28" t="s">
        <v>50</v>
      </c>
      <c r="B50">
        <v>8269.7900000000009</v>
      </c>
    </row>
    <row r="51" spans="1:2" x14ac:dyDescent="0.3">
      <c r="A51" s="29" t="s">
        <v>51</v>
      </c>
      <c r="B51">
        <v>8269.7900000000009</v>
      </c>
    </row>
    <row r="52" spans="1:2" x14ac:dyDescent="0.3">
      <c r="A52" s="28" t="s">
        <v>88</v>
      </c>
      <c r="B52">
        <v>15659.649999999996</v>
      </c>
    </row>
    <row r="53" spans="1:2" x14ac:dyDescent="0.3">
      <c r="A53" s="29" t="s">
        <v>89</v>
      </c>
      <c r="B53">
        <v>15659.649999999996</v>
      </c>
    </row>
    <row r="54" spans="1:2" x14ac:dyDescent="0.3">
      <c r="A54" s="28" t="s">
        <v>67</v>
      </c>
      <c r="B54">
        <v>8009.7700000000013</v>
      </c>
    </row>
    <row r="55" spans="1:2" x14ac:dyDescent="0.3">
      <c r="A55" s="29" t="s">
        <v>68</v>
      </c>
      <c r="B55">
        <v>8009.7700000000013</v>
      </c>
    </row>
    <row r="56" spans="1:2" x14ac:dyDescent="0.3">
      <c r="A56" s="28" t="s">
        <v>85</v>
      </c>
      <c r="B56">
        <v>3779.93</v>
      </c>
    </row>
    <row r="57" spans="1:2" x14ac:dyDescent="0.3">
      <c r="A57" s="29" t="s">
        <v>86</v>
      </c>
      <c r="B57">
        <v>3779.93</v>
      </c>
    </row>
    <row r="58" spans="1:2" x14ac:dyDescent="0.3">
      <c r="A58" s="28" t="s">
        <v>160</v>
      </c>
      <c r="B58">
        <v>5649.8399999999992</v>
      </c>
    </row>
    <row r="59" spans="1:2" x14ac:dyDescent="0.3">
      <c r="A59" s="29" t="s">
        <v>161</v>
      </c>
      <c r="B59">
        <v>5649.8399999999992</v>
      </c>
    </row>
    <row r="60" spans="1:2" x14ac:dyDescent="0.3">
      <c r="A60" s="28" t="s">
        <v>125</v>
      </c>
      <c r="B60">
        <v>11919.769999999997</v>
      </c>
    </row>
    <row r="61" spans="1:2" x14ac:dyDescent="0.3">
      <c r="A61" s="29" t="s">
        <v>126</v>
      </c>
      <c r="B61">
        <v>11919.769999999997</v>
      </c>
    </row>
    <row r="62" spans="1:2" x14ac:dyDescent="0.3">
      <c r="A62" s="28" t="s">
        <v>122</v>
      </c>
      <c r="B62">
        <v>6459.79</v>
      </c>
    </row>
    <row r="63" spans="1:2" x14ac:dyDescent="0.3">
      <c r="A63" s="29" t="s">
        <v>123</v>
      </c>
      <c r="B63">
        <v>6459.79</v>
      </c>
    </row>
    <row r="64" spans="1:2" x14ac:dyDescent="0.3">
      <c r="A64" s="28" t="s">
        <v>140</v>
      </c>
      <c r="B64">
        <v>2649.83</v>
      </c>
    </row>
    <row r="65" spans="1:2" x14ac:dyDescent="0.3">
      <c r="A65" s="29" t="s">
        <v>141</v>
      </c>
      <c r="B65">
        <v>2649.83</v>
      </c>
    </row>
    <row r="66" spans="1:2" x14ac:dyDescent="0.3">
      <c r="A66" s="28" t="s">
        <v>236</v>
      </c>
      <c r="B66">
        <v>6349.8300000000008</v>
      </c>
    </row>
    <row r="67" spans="1:2" x14ac:dyDescent="0.3">
      <c r="A67" s="29" t="s">
        <v>237</v>
      </c>
      <c r="B67">
        <v>6349.8300000000008</v>
      </c>
    </row>
    <row r="68" spans="1:2" x14ac:dyDescent="0.3">
      <c r="A68" s="28" t="s">
        <v>194</v>
      </c>
      <c r="B68">
        <v>1479.91</v>
      </c>
    </row>
    <row r="69" spans="1:2" x14ac:dyDescent="0.3">
      <c r="A69" s="29" t="s">
        <v>195</v>
      </c>
      <c r="B69">
        <v>1479.91</v>
      </c>
    </row>
    <row r="70" spans="1:2" x14ac:dyDescent="0.3">
      <c r="A70" s="28" t="s">
        <v>233</v>
      </c>
      <c r="B70">
        <v>1149.93</v>
      </c>
    </row>
    <row r="71" spans="1:2" x14ac:dyDescent="0.3">
      <c r="A71" s="29" t="s">
        <v>234</v>
      </c>
      <c r="B71">
        <v>1149.93</v>
      </c>
    </row>
    <row r="72" spans="1:2" x14ac:dyDescent="0.3">
      <c r="A72" s="28" t="s">
        <v>146</v>
      </c>
      <c r="B72">
        <v>1019.94</v>
      </c>
    </row>
    <row r="73" spans="1:2" x14ac:dyDescent="0.3">
      <c r="A73" s="29" t="s">
        <v>147</v>
      </c>
      <c r="B73">
        <v>1019.94</v>
      </c>
    </row>
    <row r="74" spans="1:2" x14ac:dyDescent="0.3">
      <c r="A74" s="28" t="s">
        <v>110</v>
      </c>
      <c r="B74">
        <v>4189.7700000000004</v>
      </c>
    </row>
    <row r="75" spans="1:2" x14ac:dyDescent="0.3">
      <c r="A75" s="29" t="s">
        <v>111</v>
      </c>
      <c r="B75">
        <v>4189.7700000000004</v>
      </c>
    </row>
    <row r="76" spans="1:2" x14ac:dyDescent="0.3">
      <c r="A76" s="28" t="s">
        <v>327</v>
      </c>
      <c r="B76">
        <v>1559.94</v>
      </c>
    </row>
    <row r="77" spans="1:2" x14ac:dyDescent="0.3">
      <c r="A77" s="29" t="s">
        <v>328</v>
      </c>
      <c r="B77">
        <v>1559.94</v>
      </c>
    </row>
    <row r="78" spans="1:2" x14ac:dyDescent="0.3">
      <c r="A78" s="28" t="s">
        <v>80</v>
      </c>
      <c r="B78">
        <v>4199.9400000000005</v>
      </c>
    </row>
    <row r="79" spans="1:2" x14ac:dyDescent="0.3">
      <c r="A79" s="29" t="s">
        <v>81</v>
      </c>
      <c r="B79">
        <v>4199.9400000000005</v>
      </c>
    </row>
    <row r="80" spans="1:2" x14ac:dyDescent="0.3">
      <c r="A80" s="28" t="s">
        <v>228</v>
      </c>
      <c r="B80">
        <v>6989.77</v>
      </c>
    </row>
    <row r="81" spans="1:2" x14ac:dyDescent="0.3">
      <c r="A81" s="29" t="s">
        <v>229</v>
      </c>
      <c r="B81">
        <v>6989.77</v>
      </c>
    </row>
    <row r="82" spans="1:2" x14ac:dyDescent="0.3">
      <c r="A82" s="28" t="s">
        <v>152</v>
      </c>
      <c r="B82">
        <v>5619.869999999999</v>
      </c>
    </row>
    <row r="83" spans="1:2" x14ac:dyDescent="0.3">
      <c r="A83" s="29" t="s">
        <v>153</v>
      </c>
      <c r="B83">
        <v>5619.869999999999</v>
      </c>
    </row>
    <row r="84" spans="1:2" x14ac:dyDescent="0.3">
      <c r="A84" s="28" t="s">
        <v>74</v>
      </c>
      <c r="B84">
        <v>5949.8500000000013</v>
      </c>
    </row>
    <row r="85" spans="1:2" x14ac:dyDescent="0.3">
      <c r="A85" s="29" t="s">
        <v>75</v>
      </c>
      <c r="B85">
        <v>5949.8500000000013</v>
      </c>
    </row>
    <row r="86" spans="1:2" x14ac:dyDescent="0.3">
      <c r="A86" s="28" t="s">
        <v>248</v>
      </c>
      <c r="B86">
        <v>1749.92</v>
      </c>
    </row>
    <row r="87" spans="1:2" x14ac:dyDescent="0.3">
      <c r="A87" s="29" t="s">
        <v>249</v>
      </c>
      <c r="B87">
        <v>1749.92</v>
      </c>
    </row>
    <row r="88" spans="1:2" x14ac:dyDescent="0.3">
      <c r="A88" s="28" t="s">
        <v>77</v>
      </c>
      <c r="B88">
        <v>479.91999999999996</v>
      </c>
    </row>
    <row r="89" spans="1:2" x14ac:dyDescent="0.3">
      <c r="A89" s="29" t="s">
        <v>78</v>
      </c>
      <c r="B89">
        <v>479.91999999999996</v>
      </c>
    </row>
    <row r="90" spans="1:2" x14ac:dyDescent="0.3">
      <c r="A90" s="28" t="s">
        <v>104</v>
      </c>
      <c r="B90">
        <v>3769.8300000000004</v>
      </c>
    </row>
    <row r="91" spans="1:2" x14ac:dyDescent="0.3">
      <c r="A91" s="29" t="s">
        <v>105</v>
      </c>
      <c r="B91">
        <v>3769.8300000000004</v>
      </c>
    </row>
    <row r="92" spans="1:2" x14ac:dyDescent="0.3">
      <c r="A92" s="28" t="s">
        <v>295</v>
      </c>
      <c r="B92">
        <v>4829.8900000000003</v>
      </c>
    </row>
    <row r="93" spans="1:2" x14ac:dyDescent="0.3">
      <c r="A93" s="29" t="s">
        <v>296</v>
      </c>
      <c r="B93">
        <v>4829.8900000000003</v>
      </c>
    </row>
    <row r="94" spans="1:2" x14ac:dyDescent="0.3">
      <c r="A94" s="28" t="s">
        <v>40</v>
      </c>
      <c r="B94">
        <v>4309.8100000000004</v>
      </c>
    </row>
    <row r="95" spans="1:2" x14ac:dyDescent="0.3">
      <c r="A95" s="29" t="s">
        <v>41</v>
      </c>
      <c r="B95">
        <v>4309.8100000000004</v>
      </c>
    </row>
    <row r="96" spans="1:2" x14ac:dyDescent="0.3">
      <c r="A96" s="28" t="s">
        <v>198</v>
      </c>
      <c r="B96">
        <v>6379.87</v>
      </c>
    </row>
    <row r="97" spans="1:2" x14ac:dyDescent="0.3">
      <c r="A97" s="29" t="s">
        <v>199</v>
      </c>
      <c r="B97">
        <v>6379.87</v>
      </c>
    </row>
    <row r="98" spans="1:2" x14ac:dyDescent="0.3">
      <c r="A98" s="28" t="s">
        <v>95</v>
      </c>
      <c r="B98">
        <v>4789.7900000000009</v>
      </c>
    </row>
    <row r="99" spans="1:2" x14ac:dyDescent="0.3">
      <c r="A99" s="29" t="s">
        <v>96</v>
      </c>
      <c r="B99">
        <v>4789.7900000000009</v>
      </c>
    </row>
    <row r="100" spans="1:2" x14ac:dyDescent="0.3">
      <c r="A100" s="28" t="s">
        <v>173</v>
      </c>
      <c r="B100">
        <v>3669.85</v>
      </c>
    </row>
    <row r="101" spans="1:2" x14ac:dyDescent="0.3">
      <c r="A101" s="29" t="s">
        <v>174</v>
      </c>
      <c r="B101">
        <v>3669.85</v>
      </c>
    </row>
    <row r="102" spans="1:2" x14ac:dyDescent="0.3">
      <c r="A102" s="28" t="s">
        <v>164</v>
      </c>
      <c r="B102">
        <v>239.96</v>
      </c>
    </row>
    <row r="103" spans="1:2" x14ac:dyDescent="0.3">
      <c r="A103" s="29" t="s">
        <v>165</v>
      </c>
      <c r="B103">
        <v>239.96</v>
      </c>
    </row>
    <row r="104" spans="1:2" x14ac:dyDescent="0.3">
      <c r="A104" s="28" t="s">
        <v>450</v>
      </c>
    </row>
    <row r="105" spans="1:2" x14ac:dyDescent="0.3">
      <c r="A105" s="29" t="s">
        <v>450</v>
      </c>
    </row>
    <row r="106" spans="1:2" x14ac:dyDescent="0.3">
      <c r="A106" s="28" t="s">
        <v>451</v>
      </c>
      <c r="B106">
        <v>224692.52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5"/>
  <sheetViews>
    <sheetView workbookViewId="0">
      <selection activeCell="D26" sqref="D26"/>
    </sheetView>
  </sheetViews>
  <sheetFormatPr defaultRowHeight="14.4" x14ac:dyDescent="0.3"/>
  <cols>
    <col min="1" max="1" width="12.5546875" bestFit="1" customWidth="1"/>
    <col min="2" max="2" width="19.77734375" bestFit="1" customWidth="1"/>
    <col min="4" max="4" width="13.109375" bestFit="1" customWidth="1"/>
    <col min="5" max="5" width="18.5546875" customWidth="1"/>
    <col min="6" max="6" width="12.5546875" bestFit="1" customWidth="1"/>
    <col min="7" max="7" width="19.6640625" bestFit="1" customWidth="1"/>
  </cols>
  <sheetData>
    <row r="1" spans="1:19" x14ac:dyDescent="0.3">
      <c r="A1" s="30"/>
      <c r="B1" s="30"/>
      <c r="C1" s="30"/>
      <c r="D1" s="30"/>
      <c r="E1" s="30"/>
      <c r="F1" s="30"/>
      <c r="G1" s="30"/>
      <c r="H1" s="30"/>
      <c r="I1" s="30"/>
      <c r="J1" s="30"/>
      <c r="K1" s="30"/>
      <c r="L1" s="30"/>
      <c r="M1" s="30"/>
      <c r="N1" s="30"/>
      <c r="O1" s="30"/>
      <c r="P1" s="30"/>
      <c r="Q1" s="30"/>
      <c r="R1" s="30"/>
      <c r="S1" s="30"/>
    </row>
    <row r="2" spans="1:19" ht="28.8" x14ac:dyDescent="0.3">
      <c r="A2" s="30" t="s">
        <v>455</v>
      </c>
      <c r="B2" s="30"/>
      <c r="C2" s="30"/>
      <c r="D2" s="30"/>
      <c r="E2" s="30"/>
      <c r="F2" s="30"/>
      <c r="G2" s="30"/>
      <c r="H2" s="30"/>
      <c r="I2" s="30"/>
      <c r="J2" s="30"/>
      <c r="K2" s="30"/>
      <c r="L2" s="30"/>
      <c r="M2" s="30"/>
      <c r="N2" s="30"/>
      <c r="O2" s="30"/>
      <c r="P2" s="30"/>
      <c r="Q2" s="30"/>
      <c r="R2" s="30"/>
      <c r="S2" s="30"/>
    </row>
    <row r="3" spans="1:19" x14ac:dyDescent="0.3">
      <c r="A3" s="31" t="s">
        <v>449</v>
      </c>
      <c r="B3" s="30" t="s">
        <v>453</v>
      </c>
      <c r="C3" s="30"/>
      <c r="D3" s="31" t="s">
        <v>449</v>
      </c>
      <c r="E3" s="30" t="s">
        <v>456</v>
      </c>
      <c r="F3" s="30"/>
      <c r="G3" s="30"/>
      <c r="H3" s="30"/>
      <c r="I3" s="30"/>
      <c r="J3" s="30"/>
      <c r="K3" s="30"/>
      <c r="L3" s="30"/>
      <c r="M3" s="30"/>
      <c r="N3" s="30"/>
      <c r="O3" s="30"/>
      <c r="P3" s="30"/>
      <c r="Q3" s="30"/>
      <c r="R3" s="30"/>
      <c r="S3" s="30"/>
    </row>
    <row r="4" spans="1:19" x14ac:dyDescent="0.3">
      <c r="A4" s="32" t="s">
        <v>35</v>
      </c>
      <c r="B4" s="33">
        <v>8338.7399999999961</v>
      </c>
      <c r="C4" s="30"/>
      <c r="D4" s="32">
        <v>1</v>
      </c>
      <c r="E4" s="30">
        <v>38</v>
      </c>
      <c r="F4" s="30"/>
      <c r="G4" s="30"/>
      <c r="H4" s="30"/>
      <c r="I4" s="30"/>
      <c r="J4" s="30"/>
      <c r="K4" s="30"/>
      <c r="L4" s="30"/>
      <c r="M4" s="30"/>
      <c r="N4" s="30"/>
      <c r="O4" s="30"/>
      <c r="P4" s="30"/>
      <c r="Q4" s="30"/>
      <c r="R4" s="30"/>
      <c r="S4" s="30"/>
    </row>
    <row r="5" spans="1:19" x14ac:dyDescent="0.3">
      <c r="A5" s="32" t="s">
        <v>21</v>
      </c>
      <c r="B5" s="33">
        <v>167256.1</v>
      </c>
      <c r="C5" s="30"/>
      <c r="D5" s="32">
        <v>2</v>
      </c>
      <c r="E5" s="30">
        <v>58</v>
      </c>
      <c r="F5" s="30"/>
      <c r="G5" s="30"/>
      <c r="H5" s="30"/>
      <c r="I5" s="30"/>
      <c r="J5" s="30"/>
      <c r="K5" s="30"/>
      <c r="L5" s="30"/>
      <c r="M5" s="30"/>
      <c r="N5" s="30"/>
      <c r="O5" s="30"/>
      <c r="P5" s="30"/>
      <c r="Q5" s="30"/>
      <c r="R5" s="30"/>
      <c r="S5" s="30"/>
    </row>
    <row r="6" spans="1:19" x14ac:dyDescent="0.3">
      <c r="A6" s="32" t="s">
        <v>48</v>
      </c>
      <c r="B6" s="33">
        <v>49097.680000000051</v>
      </c>
      <c r="C6" s="30"/>
      <c r="D6" s="32">
        <v>3</v>
      </c>
      <c r="E6" s="30">
        <v>66</v>
      </c>
      <c r="F6" s="30"/>
      <c r="G6" s="30"/>
      <c r="H6" s="30"/>
      <c r="I6" s="30"/>
      <c r="J6" s="30"/>
      <c r="K6" s="30"/>
      <c r="L6" s="30"/>
      <c r="M6" s="30"/>
      <c r="N6" s="30"/>
      <c r="O6" s="30"/>
      <c r="P6" s="30"/>
      <c r="Q6" s="30"/>
      <c r="R6" s="30"/>
      <c r="S6" s="30"/>
    </row>
    <row r="7" spans="1:19" x14ac:dyDescent="0.3">
      <c r="A7" s="32" t="s">
        <v>451</v>
      </c>
      <c r="B7" s="33">
        <v>224692.52000000005</v>
      </c>
      <c r="C7" s="30"/>
      <c r="D7" s="32">
        <v>4</v>
      </c>
      <c r="E7" s="30">
        <v>39</v>
      </c>
      <c r="F7" s="30"/>
      <c r="G7" s="30"/>
      <c r="H7" s="30"/>
      <c r="I7" s="30"/>
      <c r="J7" s="30"/>
      <c r="K7" s="30"/>
      <c r="L7" s="30"/>
      <c r="M7" s="30"/>
      <c r="N7" s="30"/>
      <c r="O7" s="30"/>
      <c r="P7" s="30"/>
      <c r="Q7" s="30"/>
      <c r="R7" s="30"/>
      <c r="S7" s="30"/>
    </row>
    <row r="8" spans="1:19" x14ac:dyDescent="0.3">
      <c r="C8" s="30"/>
      <c r="D8" s="32">
        <v>5</v>
      </c>
      <c r="E8" s="30">
        <v>48</v>
      </c>
      <c r="F8" s="30"/>
      <c r="G8" s="30"/>
      <c r="H8" s="30"/>
      <c r="I8" s="30"/>
      <c r="J8" s="30"/>
      <c r="K8" s="30"/>
      <c r="L8" s="30"/>
      <c r="M8" s="30"/>
      <c r="N8" s="30"/>
      <c r="O8" s="30"/>
      <c r="P8" s="30"/>
      <c r="Q8" s="30"/>
      <c r="R8" s="30"/>
      <c r="S8" s="30"/>
    </row>
    <row r="9" spans="1:19" x14ac:dyDescent="0.3">
      <c r="A9" s="30"/>
      <c r="B9" s="30"/>
      <c r="C9" s="30"/>
      <c r="D9" s="32" t="s">
        <v>450</v>
      </c>
      <c r="E9" s="30"/>
      <c r="F9" s="30"/>
      <c r="G9" s="30"/>
      <c r="H9" s="30"/>
      <c r="I9" s="30"/>
      <c r="J9" s="30"/>
      <c r="K9" s="30"/>
      <c r="L9" s="30"/>
      <c r="M9" s="30"/>
      <c r="N9" s="30"/>
      <c r="O9" s="30"/>
      <c r="P9" s="30"/>
      <c r="Q9" s="30"/>
      <c r="R9" s="30"/>
      <c r="S9" s="30"/>
    </row>
    <row r="10" spans="1:19" x14ac:dyDescent="0.3">
      <c r="A10" s="30"/>
      <c r="B10" s="30"/>
      <c r="C10" s="30"/>
      <c r="D10" s="32" t="s">
        <v>451</v>
      </c>
      <c r="E10" s="30">
        <v>249</v>
      </c>
      <c r="F10" s="30"/>
      <c r="G10" s="30"/>
      <c r="H10" s="30"/>
      <c r="I10" s="30"/>
      <c r="J10" s="30"/>
      <c r="K10" s="30"/>
      <c r="L10" s="30"/>
      <c r="M10" s="30"/>
      <c r="N10" s="30"/>
      <c r="O10" s="30"/>
      <c r="P10" s="30"/>
      <c r="Q10" s="30"/>
      <c r="R10" s="30"/>
      <c r="S10" s="30"/>
    </row>
    <row r="11" spans="1:19" x14ac:dyDescent="0.3">
      <c r="A11" s="30"/>
      <c r="B11" s="30"/>
      <c r="C11" s="30"/>
      <c r="D11" s="30"/>
      <c r="E11" s="30"/>
      <c r="F11" s="30"/>
      <c r="G11" s="30"/>
      <c r="H11" s="30"/>
      <c r="I11" s="30"/>
      <c r="J11" s="30"/>
      <c r="K11" s="30"/>
      <c r="L11" s="30"/>
      <c r="M11" s="30"/>
      <c r="N11" s="30"/>
      <c r="O11" s="30"/>
      <c r="P11" s="30"/>
      <c r="Q11" s="30"/>
      <c r="R11" s="30"/>
      <c r="S11" s="30"/>
    </row>
    <row r="12" spans="1:19" x14ac:dyDescent="0.3">
      <c r="A12" s="30"/>
      <c r="B12" s="30"/>
      <c r="C12" s="30"/>
      <c r="D12" s="30"/>
      <c r="E12" s="30"/>
      <c r="F12" s="30"/>
      <c r="G12" s="30"/>
      <c r="H12" s="30"/>
      <c r="I12" s="30"/>
      <c r="J12" s="30"/>
      <c r="K12" s="30"/>
      <c r="L12" s="30"/>
      <c r="M12" s="30"/>
      <c r="N12" s="30"/>
      <c r="O12" s="30"/>
      <c r="P12" s="30"/>
      <c r="Q12" s="30"/>
      <c r="R12" s="30"/>
      <c r="S12" s="30"/>
    </row>
    <row r="13" spans="1:19" x14ac:dyDescent="0.3">
      <c r="A13" s="30"/>
      <c r="B13" s="30"/>
      <c r="C13" s="30"/>
      <c r="D13" s="30"/>
      <c r="E13" s="30"/>
      <c r="F13" s="30"/>
      <c r="G13" s="30"/>
      <c r="H13" s="30"/>
      <c r="I13" s="30"/>
      <c r="J13" s="30"/>
      <c r="K13" s="30"/>
      <c r="L13" s="30"/>
      <c r="M13" s="30"/>
      <c r="N13" s="30"/>
      <c r="O13" s="30"/>
      <c r="P13" s="30"/>
      <c r="Q13" s="30"/>
      <c r="R13" s="30"/>
      <c r="S13" s="30"/>
    </row>
    <row r="14" spans="1:19" x14ac:dyDescent="0.3">
      <c r="A14" s="30"/>
      <c r="B14" s="30"/>
      <c r="C14" s="30"/>
      <c r="D14" s="30"/>
      <c r="E14" s="30"/>
      <c r="F14" s="30"/>
      <c r="G14" s="30"/>
      <c r="H14" s="30"/>
      <c r="I14" s="30"/>
      <c r="J14" s="30"/>
      <c r="K14" s="30"/>
      <c r="L14" s="30"/>
      <c r="M14" s="30"/>
      <c r="N14" s="30"/>
      <c r="O14" s="30"/>
      <c r="P14" s="30"/>
      <c r="Q14" s="30"/>
      <c r="R14" s="30"/>
      <c r="S14" s="30"/>
    </row>
    <row r="15" spans="1:19" x14ac:dyDescent="0.3">
      <c r="A15" s="30"/>
      <c r="B15" s="30"/>
      <c r="C15" s="30"/>
      <c r="D15" s="30"/>
      <c r="E15" s="30"/>
      <c r="F15" s="30"/>
      <c r="G15" s="30"/>
      <c r="H15" s="30"/>
      <c r="I15" s="30"/>
      <c r="J15" s="30"/>
      <c r="K15" s="30"/>
      <c r="L15" s="30"/>
      <c r="M15" s="30"/>
      <c r="N15" s="30"/>
      <c r="O15" s="30"/>
      <c r="P15" s="30"/>
      <c r="Q15" s="30"/>
      <c r="R15" s="30"/>
      <c r="S15" s="30"/>
    </row>
    <row r="16" spans="1:19" x14ac:dyDescent="0.3">
      <c r="A16" s="30"/>
      <c r="B16" s="30"/>
      <c r="C16" s="30"/>
      <c r="D16" s="30"/>
      <c r="E16" s="30"/>
      <c r="F16" s="30"/>
      <c r="G16" s="30"/>
      <c r="H16" s="30"/>
      <c r="I16" s="30"/>
      <c r="J16" s="30"/>
      <c r="K16" s="30"/>
      <c r="L16" s="30"/>
      <c r="M16" s="30"/>
      <c r="N16" s="30"/>
      <c r="O16" s="30"/>
      <c r="P16" s="30"/>
      <c r="Q16" s="30"/>
      <c r="R16" s="30"/>
      <c r="S16" s="30"/>
    </row>
    <row r="17" spans="1:19" x14ac:dyDescent="0.3">
      <c r="A17" s="30"/>
      <c r="B17" s="30"/>
      <c r="C17" s="30"/>
      <c r="D17" s="30"/>
      <c r="E17" s="30"/>
      <c r="F17" s="31" t="s">
        <v>449</v>
      </c>
      <c r="G17" s="30" t="s">
        <v>457</v>
      </c>
      <c r="H17" s="30"/>
      <c r="I17" s="30"/>
      <c r="J17" s="30"/>
      <c r="K17" s="30"/>
      <c r="L17" s="30"/>
      <c r="M17" s="30"/>
      <c r="N17" s="30"/>
      <c r="O17" s="30"/>
      <c r="P17" s="30"/>
      <c r="Q17" s="30"/>
      <c r="R17" s="30"/>
      <c r="S17" s="30"/>
    </row>
    <row r="18" spans="1:19" x14ac:dyDescent="0.3">
      <c r="A18" s="30"/>
      <c r="B18" s="30"/>
      <c r="C18" s="30"/>
      <c r="D18" s="30"/>
      <c r="E18" s="30"/>
      <c r="F18" s="32" t="s">
        <v>23</v>
      </c>
      <c r="G18" s="33">
        <v>3599.96</v>
      </c>
      <c r="H18" s="30"/>
      <c r="I18" s="30"/>
      <c r="J18" s="30"/>
      <c r="K18" s="30"/>
      <c r="L18" s="30"/>
      <c r="M18" s="30"/>
      <c r="N18" s="30"/>
      <c r="O18" s="30"/>
      <c r="P18" s="30"/>
      <c r="Q18" s="30"/>
      <c r="R18" s="30"/>
      <c r="S18" s="30"/>
    </row>
    <row r="19" spans="1:19" x14ac:dyDescent="0.3">
      <c r="A19" s="30"/>
      <c r="B19" s="30"/>
      <c r="C19" s="30"/>
      <c r="D19" s="30"/>
      <c r="E19" s="30"/>
      <c r="F19" s="32" t="s">
        <v>65</v>
      </c>
      <c r="G19" s="33">
        <v>4499.95</v>
      </c>
      <c r="H19" s="30"/>
      <c r="I19" s="30"/>
      <c r="J19" s="30"/>
      <c r="K19" s="30"/>
      <c r="L19" s="30"/>
      <c r="M19" s="30"/>
      <c r="N19" s="30"/>
      <c r="O19" s="30"/>
      <c r="P19" s="30"/>
      <c r="Q19" s="30"/>
      <c r="R19" s="30"/>
      <c r="S19" s="30"/>
    </row>
    <row r="20" spans="1:19" x14ac:dyDescent="0.3">
      <c r="A20" s="30"/>
      <c r="B20" s="30"/>
      <c r="C20" s="30"/>
      <c r="D20" s="30"/>
      <c r="E20" s="30"/>
      <c r="F20" s="32" t="s">
        <v>42</v>
      </c>
      <c r="G20" s="33">
        <v>3499.95</v>
      </c>
      <c r="H20" s="30"/>
      <c r="I20" s="30"/>
      <c r="J20" s="30"/>
      <c r="K20" s="30"/>
      <c r="L20" s="30"/>
      <c r="M20" s="30"/>
      <c r="N20" s="30"/>
      <c r="O20" s="30"/>
      <c r="P20" s="30"/>
      <c r="Q20" s="30"/>
      <c r="R20" s="30"/>
      <c r="S20" s="30"/>
    </row>
    <row r="21" spans="1:19" x14ac:dyDescent="0.3">
      <c r="A21" s="30"/>
      <c r="B21" s="30"/>
      <c r="C21" s="30"/>
      <c r="D21" s="30"/>
      <c r="E21" s="30"/>
      <c r="F21" s="32" t="s">
        <v>37</v>
      </c>
      <c r="G21" s="33">
        <v>4499.95</v>
      </c>
      <c r="H21" s="30"/>
      <c r="I21" s="30"/>
      <c r="J21" s="30"/>
      <c r="K21" s="30"/>
      <c r="L21" s="30"/>
      <c r="M21" s="30"/>
      <c r="N21" s="30"/>
      <c r="O21" s="30"/>
      <c r="P21" s="30"/>
      <c r="Q21" s="30"/>
      <c r="R21" s="30"/>
      <c r="S21" s="30"/>
    </row>
    <row r="22" spans="1:19" x14ac:dyDescent="0.3">
      <c r="A22" s="30"/>
      <c r="B22" s="30"/>
      <c r="C22" s="30"/>
      <c r="D22" s="30"/>
      <c r="E22" s="30"/>
      <c r="F22" s="32" t="s">
        <v>52</v>
      </c>
      <c r="G22" s="33">
        <v>3599.96</v>
      </c>
      <c r="H22" s="30"/>
      <c r="I22" s="30"/>
      <c r="J22" s="30"/>
      <c r="K22" s="30"/>
      <c r="L22" s="30"/>
      <c r="M22" s="30"/>
      <c r="N22" s="30"/>
      <c r="O22" s="30"/>
      <c r="P22" s="30"/>
      <c r="Q22" s="30"/>
      <c r="R22" s="30"/>
      <c r="S22" s="30"/>
    </row>
    <row r="23" spans="1:19" x14ac:dyDescent="0.3">
      <c r="A23" s="30"/>
      <c r="B23" s="30"/>
      <c r="C23" s="30"/>
      <c r="D23" s="30"/>
      <c r="E23" s="30"/>
      <c r="F23" s="32" t="s">
        <v>450</v>
      </c>
      <c r="G23" s="33"/>
      <c r="H23" s="30"/>
      <c r="I23" s="30"/>
      <c r="J23" s="30"/>
      <c r="K23" s="30"/>
      <c r="L23" s="30"/>
      <c r="M23" s="30"/>
      <c r="N23" s="30"/>
      <c r="O23" s="30"/>
      <c r="P23" s="30"/>
      <c r="Q23" s="30"/>
      <c r="R23" s="30"/>
      <c r="S23" s="30"/>
    </row>
    <row r="24" spans="1:19" x14ac:dyDescent="0.3">
      <c r="A24" s="30"/>
      <c r="B24" s="30"/>
      <c r="C24" s="30"/>
      <c r="D24" s="30"/>
      <c r="E24" s="30"/>
      <c r="F24" s="32" t="s">
        <v>451</v>
      </c>
      <c r="G24" s="33">
        <v>4499.95</v>
      </c>
      <c r="H24" s="30"/>
      <c r="I24" s="30"/>
      <c r="J24" s="30"/>
      <c r="K24" s="30"/>
      <c r="L24" s="30"/>
      <c r="M24" s="30"/>
      <c r="N24" s="30"/>
      <c r="O24" s="30"/>
      <c r="P24" s="30"/>
      <c r="Q24" s="30"/>
      <c r="R24" s="30"/>
      <c r="S24" s="30"/>
    </row>
    <row r="25" spans="1:19" x14ac:dyDescent="0.3">
      <c r="A25" s="30"/>
      <c r="B25" s="30"/>
      <c r="C25" s="30"/>
      <c r="D25" s="30"/>
      <c r="E25" s="30"/>
      <c r="F25" s="30"/>
      <c r="G25" s="30"/>
      <c r="H25" s="30"/>
      <c r="I25" s="30"/>
      <c r="J25" s="30"/>
      <c r="K25" s="30"/>
      <c r="L25" s="30"/>
      <c r="M25" s="30"/>
      <c r="N25" s="30"/>
      <c r="O25" s="30"/>
      <c r="P25" s="30"/>
      <c r="Q25" s="30"/>
      <c r="R25" s="30"/>
      <c r="S25" s="30"/>
    </row>
    <row r="28" spans="1:19" x14ac:dyDescent="0.3">
      <c r="A28" s="27" t="s">
        <v>449</v>
      </c>
      <c r="B28" t="s">
        <v>452</v>
      </c>
    </row>
    <row r="29" spans="1:19" x14ac:dyDescent="0.3">
      <c r="A29" s="28" t="s">
        <v>23</v>
      </c>
      <c r="B29">
        <v>54</v>
      </c>
    </row>
    <row r="30" spans="1:19" x14ac:dyDescent="0.3">
      <c r="A30" s="28" t="s">
        <v>65</v>
      </c>
      <c r="B30">
        <v>47</v>
      </c>
    </row>
    <row r="31" spans="1:19" x14ac:dyDescent="0.3">
      <c r="A31" s="28" t="s">
        <v>42</v>
      </c>
      <c r="B31">
        <v>59</v>
      </c>
    </row>
    <row r="32" spans="1:19" x14ac:dyDescent="0.3">
      <c r="A32" s="28" t="s">
        <v>37</v>
      </c>
      <c r="B32">
        <v>42</v>
      </c>
    </row>
    <row r="33" spans="1:2" x14ac:dyDescent="0.3">
      <c r="A33" s="28" t="s">
        <v>52</v>
      </c>
      <c r="B33">
        <v>47</v>
      </c>
    </row>
    <row r="34" spans="1:2" x14ac:dyDescent="0.3">
      <c r="A34" s="28" t="s">
        <v>450</v>
      </c>
    </row>
    <row r="35" spans="1:2" x14ac:dyDescent="0.3">
      <c r="A35" s="28" t="s">
        <v>451</v>
      </c>
      <c r="B35">
        <v>249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68D79-3D33-4C5B-B0E6-32DBBD323A08}">
  <dimension ref="A1"/>
  <sheetViews>
    <sheetView tabSelected="1" workbookViewId="0"/>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9"/>
  <sheetViews>
    <sheetView workbookViewId="0">
      <selection activeCell="U5" sqref="U5"/>
    </sheetView>
  </sheetViews>
  <sheetFormatPr defaultRowHeight="14.4" x14ac:dyDescent="0.3"/>
  <cols>
    <col min="2" max="2" width="15.109375" customWidth="1"/>
    <col min="12" max="12" width="15.5546875" customWidth="1"/>
    <col min="13" max="13" width="14.33203125" customWidth="1"/>
    <col min="14" max="14" width="13.6640625" customWidth="1"/>
    <col min="16" max="16" width="16.44140625" customWidth="1"/>
    <col min="17" max="17" width="12.33203125" customWidth="1"/>
    <col min="19" max="19" width="17" customWidth="1"/>
  </cols>
  <sheetData>
    <row r="1" spans="1:26" ht="29.4" thickBot="1" x14ac:dyDescent="0.35">
      <c r="A1" s="5" t="s">
        <v>2</v>
      </c>
      <c r="B1" s="5" t="s">
        <v>3</v>
      </c>
      <c r="C1" s="5" t="s">
        <v>4</v>
      </c>
      <c r="D1" s="5" t="s">
        <v>5</v>
      </c>
      <c r="E1" s="5" t="s">
        <v>6</v>
      </c>
      <c r="F1" s="5" t="s">
        <v>7</v>
      </c>
      <c r="G1" s="5" t="s">
        <v>8</v>
      </c>
      <c r="H1" s="5" t="s">
        <v>9</v>
      </c>
      <c r="I1" s="5" t="s">
        <v>10</v>
      </c>
      <c r="J1" s="5" t="s">
        <v>11</v>
      </c>
      <c r="K1" s="5" t="s">
        <v>12</v>
      </c>
      <c r="L1" s="5" t="s">
        <v>13</v>
      </c>
      <c r="M1" s="5" t="s">
        <v>14</v>
      </c>
      <c r="N1" s="5" t="s">
        <v>15</v>
      </c>
      <c r="O1" s="4"/>
      <c r="P1" s="4" t="s">
        <v>401</v>
      </c>
      <c r="Q1" s="4" t="s">
        <v>458</v>
      </c>
      <c r="R1" s="4" t="s">
        <v>459</v>
      </c>
      <c r="S1" s="4" t="s">
        <v>460</v>
      </c>
      <c r="T1" s="4"/>
      <c r="U1" s="4" t="s">
        <v>461</v>
      </c>
      <c r="V1" s="4"/>
      <c r="W1" s="4"/>
      <c r="X1" s="4"/>
      <c r="Y1" s="4"/>
      <c r="Z1" s="4"/>
    </row>
    <row r="2" spans="1:26" ht="29.4" thickBot="1" x14ac:dyDescent="0.35">
      <c r="A2" s="4" t="s">
        <v>168</v>
      </c>
      <c r="B2" s="6">
        <v>45459</v>
      </c>
      <c r="C2" s="4" t="s">
        <v>17</v>
      </c>
      <c r="D2" s="4" t="s">
        <v>18</v>
      </c>
      <c r="E2" s="4" t="s">
        <v>63</v>
      </c>
      <c r="F2" s="4" t="s">
        <v>64</v>
      </c>
      <c r="G2" s="4" t="s">
        <v>21</v>
      </c>
      <c r="H2" s="7">
        <v>5</v>
      </c>
      <c r="I2" s="7">
        <v>899.99</v>
      </c>
      <c r="J2" s="4" t="s">
        <v>28</v>
      </c>
      <c r="K2" s="4" t="s">
        <v>37</v>
      </c>
      <c r="L2" s="4" t="s">
        <v>38</v>
      </c>
      <c r="M2" s="6">
        <v>44974</v>
      </c>
      <c r="N2" s="7">
        <f t="shared" ref="N2:N64" si="0">H2*I2</f>
        <v>4499.95</v>
      </c>
      <c r="O2" s="4"/>
      <c r="P2" s="8">
        <f ca="1">TODAY()</f>
        <v>46069</v>
      </c>
      <c r="Q2" s="4">
        <f>COUNTIF(F:F,F2)</f>
        <v>23</v>
      </c>
      <c r="R2" s="4" t="str">
        <f>INDEX(F:F,MATCH(MAX(Q:Q),Q:Q, 0))</f>
        <v>Bookshelf</v>
      </c>
      <c r="S2" s="4" t="str" cm="1">
        <f t="array" ref="S2:S250">_xlfn._xlws.FILTER(D2:D250, ISNUMBER(MATCH(D2:D250,'high value customer'!A4:A103,0)))</f>
        <v>Paul Baker</v>
      </c>
      <c r="T2" s="4"/>
      <c r="U2" s="4" t="str">
        <f>LEFT(D2,1) &amp; MID(D2,FIND(" ",D2)+1,1)</f>
        <v>PB</v>
      </c>
      <c r="V2" s="4"/>
      <c r="W2" s="4"/>
      <c r="X2" s="4"/>
      <c r="Y2" s="4"/>
      <c r="Z2" s="4"/>
    </row>
    <row r="3" spans="1:26" ht="29.4" thickBot="1" x14ac:dyDescent="0.35">
      <c r="A3" s="4" t="s">
        <v>169</v>
      </c>
      <c r="B3" s="6">
        <v>45459</v>
      </c>
      <c r="C3" s="4" t="s">
        <v>125</v>
      </c>
      <c r="D3" s="4" t="s">
        <v>126</v>
      </c>
      <c r="E3" s="4" t="s">
        <v>63</v>
      </c>
      <c r="F3" s="4" t="s">
        <v>64</v>
      </c>
      <c r="G3" s="4" t="s">
        <v>21</v>
      </c>
      <c r="H3" s="7">
        <v>5</v>
      </c>
      <c r="I3" s="7">
        <v>899.99</v>
      </c>
      <c r="J3" s="4" t="s">
        <v>36</v>
      </c>
      <c r="K3" s="4" t="s">
        <v>65</v>
      </c>
      <c r="L3" s="4" t="s">
        <v>29</v>
      </c>
      <c r="M3" s="6">
        <v>45278</v>
      </c>
      <c r="N3" s="7">
        <f t="shared" si="0"/>
        <v>4499.95</v>
      </c>
      <c r="O3" s="4"/>
      <c r="P3" s="4" t="s">
        <v>402</v>
      </c>
      <c r="Q3" s="4">
        <f t="shared" ref="Q3:Q66" si="1">COUNTIF(F:F,F3)</f>
        <v>23</v>
      </c>
      <c r="R3" s="4"/>
      <c r="S3" s="4" t="str">
        <v>Edward Mitchell</v>
      </c>
      <c r="T3" s="4"/>
      <c r="U3" s="4" t="str">
        <f>UPPER(D3)</f>
        <v>EDWARD MITCHELL</v>
      </c>
      <c r="V3" s="4"/>
      <c r="W3" s="4"/>
      <c r="X3" s="4"/>
      <c r="Y3" s="4"/>
      <c r="Z3" s="4"/>
    </row>
    <row r="4" spans="1:26" ht="29.4" thickBot="1" x14ac:dyDescent="0.35">
      <c r="A4" s="4" t="s">
        <v>203</v>
      </c>
      <c r="B4" s="6">
        <v>45497</v>
      </c>
      <c r="C4" s="4" t="s">
        <v>26</v>
      </c>
      <c r="D4" s="4" t="s">
        <v>27</v>
      </c>
      <c r="E4" s="4" t="s">
        <v>63</v>
      </c>
      <c r="F4" s="4" t="s">
        <v>64</v>
      </c>
      <c r="G4" s="4" t="s">
        <v>21</v>
      </c>
      <c r="H4" s="7">
        <v>5</v>
      </c>
      <c r="I4" s="7">
        <v>899.99</v>
      </c>
      <c r="J4" s="4" t="s">
        <v>59</v>
      </c>
      <c r="K4" s="4" t="s">
        <v>37</v>
      </c>
      <c r="L4" s="4" t="s">
        <v>38</v>
      </c>
      <c r="M4" s="6">
        <v>44899</v>
      </c>
      <c r="N4" s="7">
        <f t="shared" si="0"/>
        <v>4499.95</v>
      </c>
      <c r="O4" s="4"/>
      <c r="P4" s="9">
        <f ca="1">NOW()</f>
        <v>46069.548257638889</v>
      </c>
      <c r="Q4" s="4">
        <f t="shared" si="1"/>
        <v>23</v>
      </c>
      <c r="R4" s="4"/>
      <c r="S4" s="4" t="str">
        <v>Joseph Jackson</v>
      </c>
      <c r="T4" s="4"/>
      <c r="U4" s="4" t="str">
        <f>LOWER(D3)</f>
        <v>edward mitchell</v>
      </c>
      <c r="V4" s="4"/>
      <c r="W4" s="4"/>
      <c r="X4" s="4"/>
      <c r="Y4" s="4"/>
      <c r="Z4" s="4"/>
    </row>
    <row r="5" spans="1:26" ht="29.4" thickBot="1" x14ac:dyDescent="0.35">
      <c r="A5" s="4" t="s">
        <v>224</v>
      </c>
      <c r="B5" s="6">
        <v>45523</v>
      </c>
      <c r="C5" s="4" t="s">
        <v>198</v>
      </c>
      <c r="D5" s="4" t="s">
        <v>199</v>
      </c>
      <c r="E5" s="4" t="s">
        <v>63</v>
      </c>
      <c r="F5" s="4" t="s">
        <v>64</v>
      </c>
      <c r="G5" s="4" t="s">
        <v>21</v>
      </c>
      <c r="H5" s="7">
        <v>5</v>
      </c>
      <c r="I5" s="7">
        <v>899.99</v>
      </c>
      <c r="J5" s="4" t="s">
        <v>59</v>
      </c>
      <c r="K5" s="4" t="s">
        <v>65</v>
      </c>
      <c r="L5" s="4" t="s">
        <v>24</v>
      </c>
      <c r="M5" s="6">
        <v>44526</v>
      </c>
      <c r="N5" s="7">
        <f t="shared" si="0"/>
        <v>4499.95</v>
      </c>
      <c r="O5" s="4"/>
      <c r="P5" s="4" t="s">
        <v>403</v>
      </c>
      <c r="Q5" s="4">
        <f t="shared" si="1"/>
        <v>23</v>
      </c>
      <c r="R5" s="4"/>
      <c r="S5" s="4" t="str">
        <v>Gerald Murphy</v>
      </c>
      <c r="T5" s="4"/>
      <c r="U5" s="4"/>
      <c r="V5" s="4"/>
      <c r="W5" s="4"/>
      <c r="X5" s="4"/>
      <c r="Y5" s="4"/>
      <c r="Z5" s="4"/>
    </row>
    <row r="6" spans="1:26" ht="29.4" thickBot="1" x14ac:dyDescent="0.35">
      <c r="A6" s="4" t="s">
        <v>315</v>
      </c>
      <c r="B6" s="6">
        <v>45645</v>
      </c>
      <c r="C6" s="4" t="s">
        <v>149</v>
      </c>
      <c r="D6" s="4" t="s">
        <v>150</v>
      </c>
      <c r="E6" s="4" t="s">
        <v>63</v>
      </c>
      <c r="F6" s="4" t="s">
        <v>64</v>
      </c>
      <c r="G6" s="4" t="s">
        <v>21</v>
      </c>
      <c r="H6" s="7">
        <v>5</v>
      </c>
      <c r="I6" s="7">
        <v>899.99</v>
      </c>
      <c r="J6" s="4" t="s">
        <v>59</v>
      </c>
      <c r="K6" s="4" t="s">
        <v>65</v>
      </c>
      <c r="L6" s="4" t="s">
        <v>38</v>
      </c>
      <c r="M6" s="6">
        <v>44625</v>
      </c>
      <c r="N6" s="7">
        <f t="shared" si="0"/>
        <v>4499.95</v>
      </c>
      <c r="O6" s="4"/>
      <c r="P6" s="24">
        <v>53</v>
      </c>
      <c r="Q6" s="4">
        <f t="shared" si="1"/>
        <v>23</v>
      </c>
      <c r="R6" s="4"/>
      <c r="S6" s="4" t="str">
        <v>Daniel King</v>
      </c>
      <c r="T6" s="4"/>
      <c r="U6" s="4"/>
      <c r="V6" s="4"/>
      <c r="W6" s="4"/>
      <c r="X6" s="4"/>
      <c r="Y6" s="4"/>
      <c r="Z6" s="4"/>
    </row>
    <row r="7" spans="1:26" ht="29.4" thickBot="1" x14ac:dyDescent="0.35">
      <c r="A7" s="4" t="s">
        <v>93</v>
      </c>
      <c r="B7" s="6">
        <v>45410</v>
      </c>
      <c r="C7" s="4" t="s">
        <v>88</v>
      </c>
      <c r="D7" s="4" t="s">
        <v>89</v>
      </c>
      <c r="E7" s="4" t="s">
        <v>63</v>
      </c>
      <c r="F7" s="4" t="s">
        <v>64</v>
      </c>
      <c r="G7" s="4" t="s">
        <v>21</v>
      </c>
      <c r="H7" s="7">
        <v>4</v>
      </c>
      <c r="I7" s="7">
        <v>899.99</v>
      </c>
      <c r="J7" s="4" t="s">
        <v>28</v>
      </c>
      <c r="K7" s="4" t="s">
        <v>52</v>
      </c>
      <c r="L7" s="4" t="s">
        <v>38</v>
      </c>
      <c r="M7" s="6">
        <v>45327</v>
      </c>
      <c r="N7" s="7">
        <f t="shared" si="0"/>
        <v>3599.96</v>
      </c>
      <c r="O7" s="4"/>
      <c r="P7" s="24" t="s">
        <v>404</v>
      </c>
      <c r="Q7" s="4">
        <f t="shared" si="1"/>
        <v>23</v>
      </c>
      <c r="R7" s="4"/>
      <c r="S7" s="4" t="str">
        <v>Mark Carter</v>
      </c>
      <c r="T7" s="4"/>
      <c r="U7" s="4"/>
      <c r="V7" s="4"/>
      <c r="W7" s="4"/>
      <c r="X7" s="4"/>
      <c r="Y7" s="4"/>
      <c r="Z7" s="4"/>
    </row>
    <row r="8" spans="1:26" ht="29.4" thickBot="1" x14ac:dyDescent="0.35">
      <c r="A8" s="4" t="s">
        <v>178</v>
      </c>
      <c r="B8" s="6">
        <v>45471</v>
      </c>
      <c r="C8" s="4" t="s">
        <v>101</v>
      </c>
      <c r="D8" s="4" t="s">
        <v>102</v>
      </c>
      <c r="E8" s="4" t="s">
        <v>63</v>
      </c>
      <c r="F8" s="4" t="s">
        <v>64</v>
      </c>
      <c r="G8" s="4" t="s">
        <v>21</v>
      </c>
      <c r="H8" s="7">
        <v>4</v>
      </c>
      <c r="I8" s="7">
        <v>899.99</v>
      </c>
      <c r="J8" s="4" t="s">
        <v>28</v>
      </c>
      <c r="K8" s="4" t="s">
        <v>65</v>
      </c>
      <c r="L8" s="4" t="s">
        <v>29</v>
      </c>
      <c r="M8" s="6">
        <v>44993</v>
      </c>
      <c r="N8" s="7">
        <f t="shared" si="0"/>
        <v>3599.96</v>
      </c>
      <c r="O8" s="4"/>
      <c r="P8" s="25">
        <v>45412</v>
      </c>
      <c r="Q8" s="4">
        <f t="shared" si="1"/>
        <v>23</v>
      </c>
      <c r="R8" s="4"/>
      <c r="S8" s="4" t="str">
        <v>Patricia Moore</v>
      </c>
      <c r="T8" s="4"/>
      <c r="U8" s="4"/>
      <c r="V8" s="4"/>
      <c r="W8" s="4"/>
      <c r="X8" s="4"/>
      <c r="Y8" s="4"/>
      <c r="Z8" s="4"/>
    </row>
    <row r="9" spans="1:26" ht="29.4" thickBot="1" x14ac:dyDescent="0.35">
      <c r="A9" s="4" t="s">
        <v>211</v>
      </c>
      <c r="B9" s="6">
        <v>45504</v>
      </c>
      <c r="C9" s="4" t="s">
        <v>122</v>
      </c>
      <c r="D9" s="4" t="s">
        <v>123</v>
      </c>
      <c r="E9" s="4" t="s">
        <v>63</v>
      </c>
      <c r="F9" s="4" t="s">
        <v>64</v>
      </c>
      <c r="G9" s="4" t="s">
        <v>21</v>
      </c>
      <c r="H9" s="7">
        <v>4</v>
      </c>
      <c r="I9" s="7">
        <v>899.99</v>
      </c>
      <c r="J9" s="4" t="s">
        <v>59</v>
      </c>
      <c r="K9" s="4" t="s">
        <v>37</v>
      </c>
      <c r="L9" s="4" t="s">
        <v>38</v>
      </c>
      <c r="M9" s="6">
        <v>44523</v>
      </c>
      <c r="N9" s="7">
        <f t="shared" si="0"/>
        <v>3599.96</v>
      </c>
      <c r="O9" s="4"/>
      <c r="P9" s="26"/>
      <c r="Q9" s="4">
        <f t="shared" si="1"/>
        <v>23</v>
      </c>
      <c r="R9" s="4"/>
      <c r="S9" s="4" t="str">
        <v>Helen Roberts</v>
      </c>
      <c r="T9" s="4"/>
      <c r="U9" s="4"/>
      <c r="V9" s="4"/>
      <c r="W9" s="4"/>
      <c r="X9" s="4"/>
      <c r="Y9" s="4"/>
      <c r="Z9" s="4"/>
    </row>
    <row r="10" spans="1:26" ht="29.4" thickBot="1" x14ac:dyDescent="0.35">
      <c r="A10" s="4" t="s">
        <v>347</v>
      </c>
      <c r="B10" s="6">
        <v>45686</v>
      </c>
      <c r="C10" s="4" t="s">
        <v>254</v>
      </c>
      <c r="D10" s="4" t="s">
        <v>255</v>
      </c>
      <c r="E10" s="4" t="s">
        <v>63</v>
      </c>
      <c r="F10" s="4" t="s">
        <v>64</v>
      </c>
      <c r="G10" s="4" t="s">
        <v>21</v>
      </c>
      <c r="H10" s="7">
        <v>4</v>
      </c>
      <c r="I10" s="7">
        <v>899.99</v>
      </c>
      <c r="J10" s="4" t="s">
        <v>36</v>
      </c>
      <c r="K10" s="4" t="s">
        <v>23</v>
      </c>
      <c r="L10" s="4" t="s">
        <v>24</v>
      </c>
      <c r="M10" s="6">
        <v>44734</v>
      </c>
      <c r="N10" s="7">
        <f t="shared" si="0"/>
        <v>3599.96</v>
      </c>
      <c r="O10" s="4"/>
      <c r="P10" s="4"/>
      <c r="Q10" s="4">
        <f t="shared" si="1"/>
        <v>23</v>
      </c>
      <c r="R10" s="4"/>
      <c r="S10" s="4" t="str">
        <v>William White</v>
      </c>
      <c r="T10" s="4"/>
      <c r="U10" s="4"/>
      <c r="V10" s="4"/>
      <c r="W10" s="4"/>
      <c r="X10" s="4"/>
      <c r="Y10" s="4"/>
      <c r="Z10" s="4"/>
    </row>
    <row r="11" spans="1:26" ht="29.4" thickBot="1" x14ac:dyDescent="0.35">
      <c r="A11" s="4" t="s">
        <v>97</v>
      </c>
      <c r="B11" s="6">
        <v>45412</v>
      </c>
      <c r="C11" s="4" t="s">
        <v>98</v>
      </c>
      <c r="D11" s="4" t="s">
        <v>99</v>
      </c>
      <c r="E11" s="4" t="s">
        <v>82</v>
      </c>
      <c r="F11" s="4" t="s">
        <v>83</v>
      </c>
      <c r="G11" s="4" t="s">
        <v>21</v>
      </c>
      <c r="H11" s="7">
        <v>5</v>
      </c>
      <c r="I11" s="7">
        <v>699.99</v>
      </c>
      <c r="J11" s="4" t="s">
        <v>22</v>
      </c>
      <c r="K11" s="4" t="s">
        <v>52</v>
      </c>
      <c r="L11" s="4" t="s">
        <v>24</v>
      </c>
      <c r="M11" s="6">
        <v>45167</v>
      </c>
      <c r="N11" s="7">
        <f t="shared" si="0"/>
        <v>3499.95</v>
      </c>
      <c r="O11" s="4"/>
      <c r="P11" s="4"/>
      <c r="Q11" s="4">
        <f t="shared" si="1"/>
        <v>31</v>
      </c>
      <c r="R11" s="4"/>
      <c r="S11" s="4" t="str">
        <v>Barbara Young</v>
      </c>
      <c r="T11" s="4"/>
      <c r="U11" s="4"/>
      <c r="V11" s="4"/>
      <c r="W11" s="4"/>
      <c r="X11" s="4"/>
      <c r="Y11" s="4"/>
      <c r="Z11" s="4"/>
    </row>
    <row r="12" spans="1:26" ht="29.4" thickBot="1" x14ac:dyDescent="0.35">
      <c r="A12" s="4" t="s">
        <v>142</v>
      </c>
      <c r="B12" s="6">
        <v>45440</v>
      </c>
      <c r="C12" s="4" t="s">
        <v>143</v>
      </c>
      <c r="D12" s="4" t="s">
        <v>144</v>
      </c>
      <c r="E12" s="4" t="s">
        <v>82</v>
      </c>
      <c r="F12" s="4" t="s">
        <v>83</v>
      </c>
      <c r="G12" s="4" t="s">
        <v>21</v>
      </c>
      <c r="H12" s="7">
        <v>5</v>
      </c>
      <c r="I12" s="7">
        <v>699.99</v>
      </c>
      <c r="J12" s="4" t="s">
        <v>36</v>
      </c>
      <c r="K12" s="4" t="s">
        <v>52</v>
      </c>
      <c r="L12" s="4" t="s">
        <v>38</v>
      </c>
      <c r="M12" s="6">
        <v>44407</v>
      </c>
      <c r="N12" s="7">
        <f t="shared" si="0"/>
        <v>3499.95</v>
      </c>
      <c r="O12" s="4"/>
      <c r="P12" s="4"/>
      <c r="Q12" s="4">
        <f t="shared" si="1"/>
        <v>31</v>
      </c>
      <c r="R12" s="4"/>
      <c r="S12" s="4" t="str">
        <v>Jennifer Taylor</v>
      </c>
      <c r="T12" s="4"/>
      <c r="U12" s="4"/>
      <c r="V12" s="4"/>
      <c r="W12" s="4"/>
      <c r="X12" s="4"/>
      <c r="Y12" s="4"/>
      <c r="Z12" s="4"/>
    </row>
    <row r="13" spans="1:26" ht="29.4" thickBot="1" x14ac:dyDescent="0.35">
      <c r="A13" s="4" t="s">
        <v>270</v>
      </c>
      <c r="B13" s="6">
        <v>45581</v>
      </c>
      <c r="C13" s="4" t="s">
        <v>98</v>
      </c>
      <c r="D13" s="4" t="s">
        <v>99</v>
      </c>
      <c r="E13" s="4" t="s">
        <v>82</v>
      </c>
      <c r="F13" s="4" t="s">
        <v>83</v>
      </c>
      <c r="G13" s="4" t="s">
        <v>21</v>
      </c>
      <c r="H13" s="7">
        <v>5</v>
      </c>
      <c r="I13" s="7">
        <v>699.99</v>
      </c>
      <c r="J13" s="4" t="s">
        <v>22</v>
      </c>
      <c r="K13" s="4" t="s">
        <v>65</v>
      </c>
      <c r="L13" s="4" t="s">
        <v>38</v>
      </c>
      <c r="M13" s="6">
        <v>45008</v>
      </c>
      <c r="N13" s="7">
        <f t="shared" si="0"/>
        <v>3499.95</v>
      </c>
      <c r="O13" s="4"/>
      <c r="P13" s="4"/>
      <c r="Q13" s="4">
        <f t="shared" si="1"/>
        <v>31</v>
      </c>
      <c r="R13" s="4"/>
      <c r="S13" s="4" t="str">
        <v>Barbara Young</v>
      </c>
      <c r="T13" s="4"/>
      <c r="U13" s="4"/>
      <c r="V13" s="4"/>
      <c r="W13" s="4"/>
      <c r="X13" s="4"/>
      <c r="Y13" s="4"/>
      <c r="Z13" s="4"/>
    </row>
    <row r="14" spans="1:26" ht="29.4" thickBot="1" x14ac:dyDescent="0.35">
      <c r="A14" s="4" t="s">
        <v>277</v>
      </c>
      <c r="B14" s="6">
        <v>45589</v>
      </c>
      <c r="C14" s="4" t="s">
        <v>160</v>
      </c>
      <c r="D14" s="4" t="s">
        <v>161</v>
      </c>
      <c r="E14" s="4" t="s">
        <v>82</v>
      </c>
      <c r="F14" s="4" t="s">
        <v>83</v>
      </c>
      <c r="G14" s="4" t="s">
        <v>21</v>
      </c>
      <c r="H14" s="7">
        <v>5</v>
      </c>
      <c r="I14" s="7">
        <v>699.99</v>
      </c>
      <c r="J14" s="4" t="s">
        <v>22</v>
      </c>
      <c r="K14" s="4" t="s">
        <v>42</v>
      </c>
      <c r="L14" s="4" t="s">
        <v>29</v>
      </c>
      <c r="M14" s="6">
        <v>44635</v>
      </c>
      <c r="N14" s="7">
        <f t="shared" si="0"/>
        <v>3499.95</v>
      </c>
      <c r="O14" s="4"/>
      <c r="P14" s="4"/>
      <c r="Q14" s="4">
        <f t="shared" si="1"/>
        <v>31</v>
      </c>
      <c r="R14" s="4"/>
      <c r="S14" s="4" t="str">
        <v>Betty Campbell</v>
      </c>
      <c r="T14" s="4"/>
      <c r="U14" s="4"/>
      <c r="V14" s="4"/>
      <c r="W14" s="4"/>
      <c r="X14" s="4"/>
      <c r="Y14" s="4"/>
      <c r="Z14" s="4"/>
    </row>
    <row r="15" spans="1:26" ht="29.4" thickBot="1" x14ac:dyDescent="0.35">
      <c r="A15" s="4" t="s">
        <v>301</v>
      </c>
      <c r="B15" s="6">
        <v>45627</v>
      </c>
      <c r="C15" s="4" t="s">
        <v>88</v>
      </c>
      <c r="D15" s="4" t="s">
        <v>89</v>
      </c>
      <c r="E15" s="4" t="s">
        <v>82</v>
      </c>
      <c r="F15" s="4" t="s">
        <v>83</v>
      </c>
      <c r="G15" s="4" t="s">
        <v>21</v>
      </c>
      <c r="H15" s="7">
        <v>5</v>
      </c>
      <c r="I15" s="7">
        <v>699.99</v>
      </c>
      <c r="J15" s="4" t="s">
        <v>59</v>
      </c>
      <c r="K15" s="4" t="s">
        <v>52</v>
      </c>
      <c r="L15" s="4" t="s">
        <v>38</v>
      </c>
      <c r="M15" s="6">
        <v>44944</v>
      </c>
      <c r="N15" s="7">
        <f t="shared" si="0"/>
        <v>3499.95</v>
      </c>
      <c r="O15" s="4"/>
      <c r="P15" s="4"/>
      <c r="Q15" s="4">
        <f t="shared" si="1"/>
        <v>31</v>
      </c>
      <c r="R15" s="4"/>
      <c r="S15" s="4" t="str">
        <v>Mark Carter</v>
      </c>
      <c r="T15" s="4"/>
      <c r="U15" s="4"/>
      <c r="V15" s="4"/>
      <c r="W15" s="4"/>
      <c r="X15" s="4"/>
      <c r="Y15" s="4"/>
      <c r="Z15" s="4"/>
    </row>
    <row r="16" spans="1:26" ht="29.4" thickBot="1" x14ac:dyDescent="0.35">
      <c r="A16" s="4" t="s">
        <v>361</v>
      </c>
      <c r="B16" s="6">
        <v>45707</v>
      </c>
      <c r="C16" s="4" t="s">
        <v>125</v>
      </c>
      <c r="D16" s="4" t="s">
        <v>126</v>
      </c>
      <c r="E16" s="4" t="s">
        <v>82</v>
      </c>
      <c r="F16" s="4" t="s">
        <v>83</v>
      </c>
      <c r="G16" s="4" t="s">
        <v>21</v>
      </c>
      <c r="H16" s="7">
        <v>5</v>
      </c>
      <c r="I16" s="7">
        <v>699.99</v>
      </c>
      <c r="J16" s="4" t="s">
        <v>36</v>
      </c>
      <c r="K16" s="4" t="s">
        <v>37</v>
      </c>
      <c r="L16" s="4" t="s">
        <v>29</v>
      </c>
      <c r="M16" s="6">
        <v>45352</v>
      </c>
      <c r="N16" s="7">
        <f t="shared" si="0"/>
        <v>3499.95</v>
      </c>
      <c r="O16" s="4"/>
      <c r="P16" s="4"/>
      <c r="Q16" s="4">
        <f t="shared" si="1"/>
        <v>31</v>
      </c>
      <c r="R16" s="4"/>
      <c r="S16" s="4" t="str">
        <v>Edward Mitchell</v>
      </c>
      <c r="T16" s="4"/>
      <c r="U16" s="4"/>
      <c r="V16" s="4"/>
      <c r="W16" s="4"/>
      <c r="X16" s="4"/>
      <c r="Y16" s="4"/>
      <c r="Z16" s="4"/>
    </row>
    <row r="17" spans="1:26" ht="29.4" thickBot="1" x14ac:dyDescent="0.35">
      <c r="A17" s="4" t="s">
        <v>374</v>
      </c>
      <c r="B17" s="6">
        <v>45720</v>
      </c>
      <c r="C17" s="4" t="s">
        <v>228</v>
      </c>
      <c r="D17" s="4" t="s">
        <v>229</v>
      </c>
      <c r="E17" s="4" t="s">
        <v>82</v>
      </c>
      <c r="F17" s="4" t="s">
        <v>83</v>
      </c>
      <c r="G17" s="4" t="s">
        <v>21</v>
      </c>
      <c r="H17" s="7">
        <v>5</v>
      </c>
      <c r="I17" s="7">
        <v>699.99</v>
      </c>
      <c r="J17" s="4" t="s">
        <v>59</v>
      </c>
      <c r="K17" s="4" t="s">
        <v>65</v>
      </c>
      <c r="L17" s="4" t="s">
        <v>29</v>
      </c>
      <c r="M17" s="6">
        <v>45161</v>
      </c>
      <c r="N17" s="7">
        <f t="shared" si="0"/>
        <v>3499.95</v>
      </c>
      <c r="O17" s="4"/>
      <c r="P17" s="4"/>
      <c r="Q17" s="4">
        <f t="shared" si="1"/>
        <v>31</v>
      </c>
      <c r="R17" s="4"/>
      <c r="S17" s="4" t="str">
        <v>Lawrence Reed</v>
      </c>
      <c r="T17" s="4"/>
      <c r="U17" s="4"/>
      <c r="V17" s="4"/>
      <c r="W17" s="4"/>
      <c r="X17" s="4"/>
      <c r="Y17" s="4"/>
      <c r="Z17" s="4"/>
    </row>
    <row r="18" spans="1:26" ht="29.4" thickBot="1" x14ac:dyDescent="0.35">
      <c r="A18" s="4" t="s">
        <v>100</v>
      </c>
      <c r="B18" s="6">
        <v>45413</v>
      </c>
      <c r="C18" s="4" t="s">
        <v>101</v>
      </c>
      <c r="D18" s="4" t="s">
        <v>102</v>
      </c>
      <c r="E18" s="4" t="s">
        <v>82</v>
      </c>
      <c r="F18" s="4" t="s">
        <v>83</v>
      </c>
      <c r="G18" s="4" t="s">
        <v>21</v>
      </c>
      <c r="H18" s="7">
        <v>4</v>
      </c>
      <c r="I18" s="7">
        <v>699.99</v>
      </c>
      <c r="J18" s="4" t="s">
        <v>22</v>
      </c>
      <c r="K18" s="4" t="s">
        <v>65</v>
      </c>
      <c r="L18" s="4" t="s">
        <v>38</v>
      </c>
      <c r="M18" s="6">
        <v>44409</v>
      </c>
      <c r="N18" s="7">
        <f t="shared" si="0"/>
        <v>2799.96</v>
      </c>
      <c r="O18" s="4"/>
      <c r="P18" s="4"/>
      <c r="Q18" s="4">
        <f t="shared" si="1"/>
        <v>31</v>
      </c>
      <c r="R18" s="4"/>
      <c r="S18" s="4" t="str">
        <v>Patricia Moore</v>
      </c>
      <c r="T18" s="4"/>
      <c r="U18" s="4"/>
      <c r="V18" s="4"/>
      <c r="W18" s="4"/>
      <c r="X18" s="4"/>
      <c r="Y18" s="4"/>
      <c r="Z18" s="4"/>
    </row>
    <row r="19" spans="1:26" ht="43.8" thickBot="1" x14ac:dyDescent="0.35">
      <c r="A19" s="4" t="s">
        <v>256</v>
      </c>
      <c r="B19" s="6">
        <v>45554</v>
      </c>
      <c r="C19" s="4" t="s">
        <v>74</v>
      </c>
      <c r="D19" s="4" t="s">
        <v>75</v>
      </c>
      <c r="E19" s="4" t="s">
        <v>82</v>
      </c>
      <c r="F19" s="4" t="s">
        <v>83</v>
      </c>
      <c r="G19" s="4" t="s">
        <v>21</v>
      </c>
      <c r="H19" s="7">
        <v>4</v>
      </c>
      <c r="I19" s="7">
        <v>699.99</v>
      </c>
      <c r="J19" s="4" t="s">
        <v>36</v>
      </c>
      <c r="K19" s="4" t="s">
        <v>37</v>
      </c>
      <c r="L19" s="4" t="s">
        <v>24</v>
      </c>
      <c r="M19" s="6">
        <v>44618</v>
      </c>
      <c r="N19" s="7">
        <f t="shared" si="0"/>
        <v>2799.96</v>
      </c>
      <c r="O19" s="4"/>
      <c r="P19" s="4"/>
      <c r="Q19" s="4">
        <f t="shared" si="1"/>
        <v>31</v>
      </c>
      <c r="R19" s="4"/>
      <c r="S19" s="4" t="str">
        <v>Peter Richardson</v>
      </c>
      <c r="T19" s="4"/>
      <c r="U19" s="4"/>
      <c r="V19" s="4"/>
      <c r="W19" s="4"/>
      <c r="X19" s="4"/>
      <c r="Y19" s="4"/>
      <c r="Z19" s="4"/>
    </row>
    <row r="20" spans="1:26" ht="29.4" thickBot="1" x14ac:dyDescent="0.35">
      <c r="A20" s="4" t="s">
        <v>271</v>
      </c>
      <c r="B20" s="6">
        <v>45581</v>
      </c>
      <c r="C20" s="4" t="s">
        <v>173</v>
      </c>
      <c r="D20" s="4" t="s">
        <v>174</v>
      </c>
      <c r="E20" s="4" t="s">
        <v>82</v>
      </c>
      <c r="F20" s="4" t="s">
        <v>83</v>
      </c>
      <c r="G20" s="4" t="s">
        <v>21</v>
      </c>
      <c r="H20" s="7">
        <v>4</v>
      </c>
      <c r="I20" s="7">
        <v>699.99</v>
      </c>
      <c r="J20" s="4" t="s">
        <v>28</v>
      </c>
      <c r="K20" s="4" t="s">
        <v>23</v>
      </c>
      <c r="L20" s="4" t="s">
        <v>24</v>
      </c>
      <c r="M20" s="6">
        <v>45385</v>
      </c>
      <c r="N20" s="7">
        <f t="shared" si="0"/>
        <v>2799.96</v>
      </c>
      <c r="O20" s="4"/>
      <c r="P20" s="4"/>
      <c r="Q20" s="4">
        <f t="shared" si="1"/>
        <v>31</v>
      </c>
      <c r="R20" s="4"/>
      <c r="S20" s="4" t="str">
        <v>Raymond Ross</v>
      </c>
      <c r="T20" s="4"/>
      <c r="U20" s="4"/>
      <c r="V20" s="4"/>
      <c r="W20" s="4"/>
      <c r="X20" s="4"/>
      <c r="Y20" s="4"/>
      <c r="Z20" s="4"/>
    </row>
    <row r="21" spans="1:26" ht="29.4" thickBot="1" x14ac:dyDescent="0.35">
      <c r="A21" s="4" t="s">
        <v>303</v>
      </c>
      <c r="B21" s="6">
        <v>45630</v>
      </c>
      <c r="C21" s="4" t="s">
        <v>50</v>
      </c>
      <c r="D21" s="4" t="s">
        <v>51</v>
      </c>
      <c r="E21" s="4" t="s">
        <v>82</v>
      </c>
      <c r="F21" s="4" t="s">
        <v>83</v>
      </c>
      <c r="G21" s="4" t="s">
        <v>21</v>
      </c>
      <c r="H21" s="7">
        <v>4</v>
      </c>
      <c r="I21" s="7">
        <v>699.99</v>
      </c>
      <c r="J21" s="4" t="s">
        <v>28</v>
      </c>
      <c r="K21" s="4" t="s">
        <v>42</v>
      </c>
      <c r="L21" s="4" t="s">
        <v>29</v>
      </c>
      <c r="M21" s="6">
        <v>44703</v>
      </c>
      <c r="N21" s="7">
        <f t="shared" si="0"/>
        <v>2799.96</v>
      </c>
      <c r="O21" s="4"/>
      <c r="P21" s="4"/>
      <c r="Q21" s="4">
        <f t="shared" si="1"/>
        <v>31</v>
      </c>
      <c r="R21" s="4"/>
      <c r="S21" s="4" t="str">
        <v>Dorothy Nelson</v>
      </c>
      <c r="T21" s="4"/>
      <c r="U21" s="4"/>
      <c r="V21" s="4"/>
      <c r="W21" s="4"/>
      <c r="X21" s="4"/>
      <c r="Y21" s="4"/>
      <c r="Z21" s="4"/>
    </row>
    <row r="22" spans="1:26" ht="29.4" thickBot="1" x14ac:dyDescent="0.35">
      <c r="A22" s="4" t="s">
        <v>350</v>
      </c>
      <c r="B22" s="6">
        <v>45688</v>
      </c>
      <c r="C22" s="4" t="s">
        <v>67</v>
      </c>
      <c r="D22" s="4" t="s">
        <v>68</v>
      </c>
      <c r="E22" s="4" t="s">
        <v>82</v>
      </c>
      <c r="F22" s="4" t="s">
        <v>83</v>
      </c>
      <c r="G22" s="4" t="s">
        <v>21</v>
      </c>
      <c r="H22" s="7">
        <v>4</v>
      </c>
      <c r="I22" s="7">
        <v>699.99</v>
      </c>
      <c r="J22" s="4" t="s">
        <v>59</v>
      </c>
      <c r="K22" s="4" t="s">
        <v>52</v>
      </c>
      <c r="L22" s="4" t="s">
        <v>29</v>
      </c>
      <c r="M22" s="6">
        <v>44692</v>
      </c>
      <c r="N22" s="7">
        <f t="shared" si="0"/>
        <v>2799.96</v>
      </c>
      <c r="O22" s="4"/>
      <c r="P22" s="4"/>
      <c r="Q22" s="4">
        <f t="shared" si="1"/>
        <v>31</v>
      </c>
      <c r="R22" s="4"/>
      <c r="S22" s="4" t="str">
        <v>Karen Hill</v>
      </c>
      <c r="T22" s="4"/>
      <c r="U22" s="4"/>
      <c r="V22" s="4"/>
      <c r="W22" s="4"/>
      <c r="X22" s="4"/>
      <c r="Y22" s="4"/>
      <c r="Z22" s="4"/>
    </row>
    <row r="23" spans="1:26" ht="29.4" thickBot="1" x14ac:dyDescent="0.35">
      <c r="A23" s="4" t="s">
        <v>60</v>
      </c>
      <c r="B23" s="6">
        <v>45405</v>
      </c>
      <c r="C23" s="4" t="s">
        <v>61</v>
      </c>
      <c r="D23" s="4" t="s">
        <v>62</v>
      </c>
      <c r="E23" s="4" t="s">
        <v>63</v>
      </c>
      <c r="F23" s="4" t="s">
        <v>64</v>
      </c>
      <c r="G23" s="4" t="s">
        <v>21</v>
      </c>
      <c r="H23" s="7">
        <v>3</v>
      </c>
      <c r="I23" s="7">
        <v>899.99</v>
      </c>
      <c r="J23" s="4" t="s">
        <v>36</v>
      </c>
      <c r="K23" s="4" t="s">
        <v>65</v>
      </c>
      <c r="L23" s="4" t="s">
        <v>38</v>
      </c>
      <c r="M23" s="6">
        <v>45299</v>
      </c>
      <c r="N23" s="7">
        <f t="shared" si="0"/>
        <v>2699.9700000000003</v>
      </c>
      <c r="O23" s="4"/>
      <c r="P23" s="4"/>
      <c r="Q23" s="4">
        <f t="shared" si="1"/>
        <v>23</v>
      </c>
      <c r="R23" s="4"/>
      <c r="S23" s="4" t="str">
        <v>Robert Thomas</v>
      </c>
      <c r="T23" s="4"/>
      <c r="U23" s="4"/>
      <c r="V23" s="4"/>
      <c r="W23" s="4"/>
      <c r="X23" s="4"/>
      <c r="Y23" s="4"/>
      <c r="Z23" s="4"/>
    </row>
    <row r="24" spans="1:26" ht="29.4" thickBot="1" x14ac:dyDescent="0.35">
      <c r="A24" s="4" t="s">
        <v>257</v>
      </c>
      <c r="B24" s="6">
        <v>45559</v>
      </c>
      <c r="C24" s="4" t="s">
        <v>236</v>
      </c>
      <c r="D24" s="4" t="s">
        <v>237</v>
      </c>
      <c r="E24" s="4" t="s">
        <v>63</v>
      </c>
      <c r="F24" s="4" t="s">
        <v>64</v>
      </c>
      <c r="G24" s="4" t="s">
        <v>21</v>
      </c>
      <c r="H24" s="7">
        <v>3</v>
      </c>
      <c r="I24" s="7">
        <v>899.99</v>
      </c>
      <c r="J24" s="4" t="s">
        <v>28</v>
      </c>
      <c r="K24" s="4" t="s">
        <v>42</v>
      </c>
      <c r="L24" s="4" t="s">
        <v>38</v>
      </c>
      <c r="M24" s="6">
        <v>45157</v>
      </c>
      <c r="N24" s="7">
        <f t="shared" si="0"/>
        <v>2699.9700000000003</v>
      </c>
      <c r="O24" s="4"/>
      <c r="P24" s="4"/>
      <c r="Q24" s="4">
        <f t="shared" si="1"/>
        <v>23</v>
      </c>
      <c r="R24" s="4"/>
      <c r="S24" s="4" t="str">
        <v>Sandra Phillips</v>
      </c>
      <c r="T24" s="4"/>
      <c r="U24" s="4"/>
      <c r="V24" s="4"/>
      <c r="W24" s="4"/>
      <c r="X24" s="4"/>
      <c r="Y24" s="4"/>
      <c r="Z24" s="4"/>
    </row>
    <row r="25" spans="1:26" ht="29.4" thickBot="1" x14ac:dyDescent="0.35">
      <c r="A25" s="4" t="s">
        <v>269</v>
      </c>
      <c r="B25" s="6">
        <v>45579</v>
      </c>
      <c r="C25" s="4" t="s">
        <v>85</v>
      </c>
      <c r="D25" s="4" t="s">
        <v>86</v>
      </c>
      <c r="E25" s="4" t="s">
        <v>63</v>
      </c>
      <c r="F25" s="4" t="s">
        <v>64</v>
      </c>
      <c r="G25" s="4" t="s">
        <v>21</v>
      </c>
      <c r="H25" s="7">
        <v>3</v>
      </c>
      <c r="I25" s="7">
        <v>899.99</v>
      </c>
      <c r="J25" s="4" t="s">
        <v>36</v>
      </c>
      <c r="K25" s="4" t="s">
        <v>52</v>
      </c>
      <c r="L25" s="4" t="s">
        <v>24</v>
      </c>
      <c r="M25" s="6">
        <v>45215</v>
      </c>
      <c r="N25" s="7">
        <f t="shared" si="0"/>
        <v>2699.9700000000003</v>
      </c>
      <c r="O25" s="4"/>
      <c r="P25" s="4"/>
      <c r="Q25" s="4">
        <f t="shared" si="1"/>
        <v>23</v>
      </c>
      <c r="R25" s="4"/>
      <c r="S25" s="4" t="str">
        <v>George Adams</v>
      </c>
      <c r="T25" s="4"/>
      <c r="U25" s="4"/>
      <c r="V25" s="4"/>
      <c r="W25" s="4"/>
      <c r="X25" s="4"/>
      <c r="Y25" s="4"/>
      <c r="Z25" s="4"/>
    </row>
    <row r="26" spans="1:26" ht="29.4" thickBot="1" x14ac:dyDescent="0.35">
      <c r="A26" s="4" t="s">
        <v>363</v>
      </c>
      <c r="B26" s="6">
        <v>45708</v>
      </c>
      <c r="C26" s="4" t="s">
        <v>98</v>
      </c>
      <c r="D26" s="4" t="s">
        <v>99</v>
      </c>
      <c r="E26" s="4" t="s">
        <v>63</v>
      </c>
      <c r="F26" s="4" t="s">
        <v>64</v>
      </c>
      <c r="G26" s="4" t="s">
        <v>21</v>
      </c>
      <c r="H26" s="7">
        <v>3</v>
      </c>
      <c r="I26" s="7">
        <v>899.99</v>
      </c>
      <c r="J26" s="4" t="s">
        <v>22</v>
      </c>
      <c r="K26" s="4" t="s">
        <v>65</v>
      </c>
      <c r="L26" s="4" t="s">
        <v>38</v>
      </c>
      <c r="M26" s="6">
        <v>44613</v>
      </c>
      <c r="N26" s="7">
        <f t="shared" si="0"/>
        <v>2699.9700000000003</v>
      </c>
      <c r="O26" s="4"/>
      <c r="P26" s="4"/>
      <c r="Q26" s="4">
        <f t="shared" si="1"/>
        <v>23</v>
      </c>
      <c r="R26" s="4"/>
      <c r="S26" s="4" t="str">
        <v>Barbara Young</v>
      </c>
      <c r="T26" s="4"/>
      <c r="U26" s="4"/>
      <c r="V26" s="4"/>
      <c r="W26" s="4"/>
      <c r="X26" s="4"/>
      <c r="Y26" s="4"/>
      <c r="Z26" s="4"/>
    </row>
    <row r="27" spans="1:26" ht="29.4" thickBot="1" x14ac:dyDescent="0.35">
      <c r="A27" s="4" t="s">
        <v>384</v>
      </c>
      <c r="B27" s="6">
        <v>45737</v>
      </c>
      <c r="C27" s="4" t="s">
        <v>152</v>
      </c>
      <c r="D27" s="4" t="s">
        <v>153</v>
      </c>
      <c r="E27" s="4" t="s">
        <v>63</v>
      </c>
      <c r="F27" s="4" t="s">
        <v>64</v>
      </c>
      <c r="G27" s="4" t="s">
        <v>21</v>
      </c>
      <c r="H27" s="7">
        <v>3</v>
      </c>
      <c r="I27" s="7">
        <v>899.99</v>
      </c>
      <c r="J27" s="4" t="s">
        <v>59</v>
      </c>
      <c r="K27" s="4" t="s">
        <v>42</v>
      </c>
      <c r="L27" s="4" t="s">
        <v>29</v>
      </c>
      <c r="M27" s="6">
        <v>44876</v>
      </c>
      <c r="N27" s="7">
        <f t="shared" si="0"/>
        <v>2699.9700000000003</v>
      </c>
      <c r="O27" s="4"/>
      <c r="P27" s="4"/>
      <c r="Q27" s="4">
        <f t="shared" si="1"/>
        <v>23</v>
      </c>
      <c r="R27" s="4"/>
      <c r="S27" s="4" t="str">
        <v>Sharon Butler</v>
      </c>
      <c r="T27" s="4"/>
      <c r="U27" s="4"/>
      <c r="V27" s="4"/>
      <c r="W27" s="4"/>
      <c r="X27" s="4"/>
      <c r="Y27" s="4"/>
      <c r="Z27" s="4"/>
    </row>
    <row r="28" spans="1:26" ht="29.4" thickBot="1" x14ac:dyDescent="0.35">
      <c r="A28" s="4" t="s">
        <v>385</v>
      </c>
      <c r="B28" s="6">
        <v>45737</v>
      </c>
      <c r="C28" s="4" t="s">
        <v>50</v>
      </c>
      <c r="D28" s="4" t="s">
        <v>51</v>
      </c>
      <c r="E28" s="4" t="s">
        <v>63</v>
      </c>
      <c r="F28" s="4" t="s">
        <v>64</v>
      </c>
      <c r="G28" s="4" t="s">
        <v>21</v>
      </c>
      <c r="H28" s="7">
        <v>3</v>
      </c>
      <c r="I28" s="7">
        <v>899.99</v>
      </c>
      <c r="J28" s="4" t="s">
        <v>36</v>
      </c>
      <c r="K28" s="4" t="s">
        <v>42</v>
      </c>
      <c r="L28" s="4" t="s">
        <v>24</v>
      </c>
      <c r="M28" s="6">
        <v>44975</v>
      </c>
      <c r="N28" s="7">
        <f t="shared" si="0"/>
        <v>2699.9700000000003</v>
      </c>
      <c r="O28" s="4"/>
      <c r="P28" s="4"/>
      <c r="Q28" s="4">
        <f t="shared" si="1"/>
        <v>23</v>
      </c>
      <c r="R28" s="4"/>
      <c r="S28" s="4" t="str">
        <v>Dorothy Nelson</v>
      </c>
      <c r="T28" s="4"/>
      <c r="U28" s="4"/>
      <c r="V28" s="4"/>
      <c r="W28" s="4"/>
      <c r="X28" s="4"/>
      <c r="Y28" s="4"/>
      <c r="Z28" s="4"/>
    </row>
    <row r="29" spans="1:26" ht="29.4" thickBot="1" x14ac:dyDescent="0.35">
      <c r="A29" s="4" t="s">
        <v>395</v>
      </c>
      <c r="B29" s="6">
        <v>45749</v>
      </c>
      <c r="C29" s="4" t="s">
        <v>125</v>
      </c>
      <c r="D29" s="4" t="s">
        <v>126</v>
      </c>
      <c r="E29" s="4" t="s">
        <v>63</v>
      </c>
      <c r="F29" s="4" t="s">
        <v>64</v>
      </c>
      <c r="G29" s="4" t="s">
        <v>21</v>
      </c>
      <c r="H29" s="7">
        <v>3</v>
      </c>
      <c r="I29" s="7">
        <v>899.99</v>
      </c>
      <c r="J29" s="4" t="s">
        <v>22</v>
      </c>
      <c r="K29" s="4" t="s">
        <v>23</v>
      </c>
      <c r="L29" s="4" t="s">
        <v>38</v>
      </c>
      <c r="M29" s="6">
        <v>44953</v>
      </c>
      <c r="N29" s="7">
        <f t="shared" si="0"/>
        <v>2699.9700000000003</v>
      </c>
      <c r="O29" s="4"/>
      <c r="P29" s="4"/>
      <c r="Q29" s="4">
        <f t="shared" si="1"/>
        <v>23</v>
      </c>
      <c r="R29" s="4"/>
      <c r="S29" s="4" t="str">
        <v>Edward Mitchell</v>
      </c>
      <c r="T29" s="4"/>
      <c r="U29" s="4"/>
      <c r="V29" s="4"/>
      <c r="W29" s="4"/>
      <c r="X29" s="4"/>
      <c r="Y29" s="4"/>
      <c r="Z29" s="4"/>
    </row>
    <row r="30" spans="1:26" ht="29.4" thickBot="1" x14ac:dyDescent="0.35">
      <c r="A30" s="4" t="s">
        <v>79</v>
      </c>
      <c r="B30" s="6">
        <v>45409</v>
      </c>
      <c r="C30" s="4" t="s">
        <v>80</v>
      </c>
      <c r="D30" s="4" t="s">
        <v>81</v>
      </c>
      <c r="E30" s="4" t="s">
        <v>82</v>
      </c>
      <c r="F30" s="4" t="s">
        <v>83</v>
      </c>
      <c r="G30" s="4" t="s">
        <v>21</v>
      </c>
      <c r="H30" s="7">
        <v>3</v>
      </c>
      <c r="I30" s="7">
        <v>699.99</v>
      </c>
      <c r="J30" s="4" t="s">
        <v>28</v>
      </c>
      <c r="K30" s="4" t="s">
        <v>52</v>
      </c>
      <c r="L30" s="4" t="s">
        <v>24</v>
      </c>
      <c r="M30" s="6">
        <v>44577</v>
      </c>
      <c r="N30" s="7">
        <f t="shared" si="0"/>
        <v>2099.9700000000003</v>
      </c>
      <c r="O30" s="4"/>
      <c r="P30" s="4"/>
      <c r="Q30" s="4">
        <f t="shared" si="1"/>
        <v>31</v>
      </c>
      <c r="R30" s="4"/>
      <c r="S30" s="4" t="str">
        <v>Michelle Rogers</v>
      </c>
      <c r="T30" s="4"/>
      <c r="U30" s="4"/>
      <c r="V30" s="4"/>
      <c r="W30" s="4"/>
      <c r="X30" s="4"/>
      <c r="Y30" s="4"/>
      <c r="Z30" s="4"/>
    </row>
    <row r="31" spans="1:26" ht="29.4" thickBot="1" x14ac:dyDescent="0.35">
      <c r="A31" s="4" t="s">
        <v>177</v>
      </c>
      <c r="B31" s="6">
        <v>45471</v>
      </c>
      <c r="C31" s="4" t="s">
        <v>40</v>
      </c>
      <c r="D31" s="4" t="s">
        <v>41</v>
      </c>
      <c r="E31" s="4" t="s">
        <v>82</v>
      </c>
      <c r="F31" s="4" t="s">
        <v>83</v>
      </c>
      <c r="G31" s="4" t="s">
        <v>21</v>
      </c>
      <c r="H31" s="7">
        <v>3</v>
      </c>
      <c r="I31" s="7">
        <v>699.99</v>
      </c>
      <c r="J31" s="4" t="s">
        <v>28</v>
      </c>
      <c r="K31" s="4" t="s">
        <v>65</v>
      </c>
      <c r="L31" s="4" t="s">
        <v>29</v>
      </c>
      <c r="M31" s="6">
        <v>45102</v>
      </c>
      <c r="N31" s="7">
        <f t="shared" si="0"/>
        <v>2099.9700000000003</v>
      </c>
      <c r="O31" s="4"/>
      <c r="P31" s="4"/>
      <c r="Q31" s="4">
        <f t="shared" si="1"/>
        <v>31</v>
      </c>
      <c r="R31" s="4"/>
      <c r="S31" s="4" t="str">
        <v>Kathleen Bennett</v>
      </c>
      <c r="T31" s="4"/>
      <c r="U31" s="4"/>
      <c r="V31" s="4"/>
      <c r="W31" s="4"/>
      <c r="X31" s="4"/>
      <c r="Y31" s="4"/>
      <c r="Z31" s="4"/>
    </row>
    <row r="32" spans="1:26" ht="29.4" thickBot="1" x14ac:dyDescent="0.35">
      <c r="A32" s="4" t="s">
        <v>293</v>
      </c>
      <c r="B32" s="6">
        <v>45619</v>
      </c>
      <c r="C32" s="4" t="s">
        <v>156</v>
      </c>
      <c r="D32" s="4" t="s">
        <v>157</v>
      </c>
      <c r="E32" s="4" t="s">
        <v>82</v>
      </c>
      <c r="F32" s="4" t="s">
        <v>83</v>
      </c>
      <c r="G32" s="4" t="s">
        <v>21</v>
      </c>
      <c r="H32" s="7">
        <v>3</v>
      </c>
      <c r="I32" s="7">
        <v>699.99</v>
      </c>
      <c r="J32" s="4" t="s">
        <v>36</v>
      </c>
      <c r="K32" s="4" t="s">
        <v>52</v>
      </c>
      <c r="L32" s="4" t="s">
        <v>38</v>
      </c>
      <c r="M32" s="6">
        <v>44583</v>
      </c>
      <c r="N32" s="7">
        <f t="shared" si="0"/>
        <v>2099.9700000000003</v>
      </c>
      <c r="O32" s="4"/>
      <c r="P32" s="4"/>
      <c r="Q32" s="4">
        <f t="shared" si="1"/>
        <v>31</v>
      </c>
      <c r="R32" s="4"/>
      <c r="S32" s="4" t="str">
        <v>Sarah Davis</v>
      </c>
      <c r="T32" s="4"/>
      <c r="U32" s="4"/>
      <c r="V32" s="4"/>
      <c r="W32" s="4"/>
      <c r="X32" s="4"/>
      <c r="Y32" s="4"/>
      <c r="Z32" s="4"/>
    </row>
    <row r="33" spans="1:26" ht="29.4" thickBot="1" x14ac:dyDescent="0.35">
      <c r="A33" s="4" t="s">
        <v>331</v>
      </c>
      <c r="B33" s="6">
        <v>45666</v>
      </c>
      <c r="C33" s="4" t="s">
        <v>67</v>
      </c>
      <c r="D33" s="4" t="s">
        <v>68</v>
      </c>
      <c r="E33" s="4" t="s">
        <v>82</v>
      </c>
      <c r="F33" s="4" t="s">
        <v>83</v>
      </c>
      <c r="G33" s="4" t="s">
        <v>21</v>
      </c>
      <c r="H33" s="7">
        <v>3</v>
      </c>
      <c r="I33" s="7">
        <v>699.99</v>
      </c>
      <c r="J33" s="4" t="s">
        <v>28</v>
      </c>
      <c r="K33" s="4" t="s">
        <v>23</v>
      </c>
      <c r="L33" s="4" t="s">
        <v>29</v>
      </c>
      <c r="M33" s="6">
        <v>45105</v>
      </c>
      <c r="N33" s="7">
        <f t="shared" si="0"/>
        <v>2099.9700000000003</v>
      </c>
      <c r="O33" s="4"/>
      <c r="P33" s="4"/>
      <c r="Q33" s="4">
        <f t="shared" si="1"/>
        <v>31</v>
      </c>
      <c r="R33" s="4"/>
      <c r="S33" s="4" t="str">
        <v>Karen Hill</v>
      </c>
      <c r="T33" s="4"/>
      <c r="U33" s="4"/>
      <c r="V33" s="4"/>
      <c r="W33" s="4"/>
      <c r="X33" s="4"/>
      <c r="Y33" s="4"/>
      <c r="Z33" s="4"/>
    </row>
    <row r="34" spans="1:26" ht="29.4" thickBot="1" x14ac:dyDescent="0.35">
      <c r="A34" s="4" t="s">
        <v>335</v>
      </c>
      <c r="B34" s="6">
        <v>45668</v>
      </c>
      <c r="C34" s="4" t="s">
        <v>80</v>
      </c>
      <c r="D34" s="4" t="s">
        <v>81</v>
      </c>
      <c r="E34" s="4" t="s">
        <v>82</v>
      </c>
      <c r="F34" s="4" t="s">
        <v>83</v>
      </c>
      <c r="G34" s="4" t="s">
        <v>21</v>
      </c>
      <c r="H34" s="7">
        <v>3</v>
      </c>
      <c r="I34" s="7">
        <v>699.99</v>
      </c>
      <c r="J34" s="4" t="s">
        <v>22</v>
      </c>
      <c r="K34" s="4" t="s">
        <v>42</v>
      </c>
      <c r="L34" s="4" t="s">
        <v>29</v>
      </c>
      <c r="M34" s="6">
        <v>44602</v>
      </c>
      <c r="N34" s="7">
        <f t="shared" si="0"/>
        <v>2099.9700000000003</v>
      </c>
      <c r="O34" s="4"/>
      <c r="P34" s="4"/>
      <c r="Q34" s="4">
        <f t="shared" si="1"/>
        <v>31</v>
      </c>
      <c r="R34" s="4"/>
      <c r="S34" s="4" t="str">
        <v>Michelle Rogers</v>
      </c>
      <c r="T34" s="4"/>
      <c r="U34" s="4"/>
      <c r="V34" s="4"/>
      <c r="W34" s="4"/>
      <c r="X34" s="4"/>
      <c r="Y34" s="4"/>
      <c r="Z34" s="4"/>
    </row>
    <row r="35" spans="1:26" ht="29.4" thickBot="1" x14ac:dyDescent="0.35">
      <c r="A35" s="4" t="s">
        <v>398</v>
      </c>
      <c r="B35" s="6">
        <v>45758</v>
      </c>
      <c r="C35" s="4" t="s">
        <v>295</v>
      </c>
      <c r="D35" s="4" t="s">
        <v>296</v>
      </c>
      <c r="E35" s="4" t="s">
        <v>82</v>
      </c>
      <c r="F35" s="4" t="s">
        <v>83</v>
      </c>
      <c r="G35" s="4" t="s">
        <v>21</v>
      </c>
      <c r="H35" s="7">
        <v>3</v>
      </c>
      <c r="I35" s="7">
        <v>699.99</v>
      </c>
      <c r="J35" s="4" t="s">
        <v>36</v>
      </c>
      <c r="K35" s="4" t="s">
        <v>42</v>
      </c>
      <c r="L35" s="4" t="s">
        <v>24</v>
      </c>
      <c r="M35" s="6">
        <v>44909</v>
      </c>
      <c r="N35" s="7">
        <f t="shared" si="0"/>
        <v>2099.9700000000003</v>
      </c>
      <c r="O35" s="4"/>
      <c r="P35" s="4"/>
      <c r="Q35" s="4">
        <f t="shared" si="1"/>
        <v>31</v>
      </c>
      <c r="R35" s="4"/>
      <c r="S35" s="4" t="str">
        <v>Douglas Watson</v>
      </c>
      <c r="T35" s="4"/>
      <c r="U35" s="4"/>
      <c r="V35" s="4"/>
      <c r="W35" s="4"/>
      <c r="X35" s="4"/>
      <c r="Y35" s="4"/>
      <c r="Z35" s="4"/>
    </row>
    <row r="36" spans="1:26" ht="43.8" thickBot="1" x14ac:dyDescent="0.35">
      <c r="A36" s="4" t="s">
        <v>310</v>
      </c>
      <c r="B36" s="6">
        <v>45638</v>
      </c>
      <c r="C36" s="4" t="s">
        <v>74</v>
      </c>
      <c r="D36" s="4" t="s">
        <v>75</v>
      </c>
      <c r="E36" s="4" t="s">
        <v>63</v>
      </c>
      <c r="F36" s="4" t="s">
        <v>64</v>
      </c>
      <c r="G36" s="4" t="s">
        <v>21</v>
      </c>
      <c r="H36" s="7">
        <v>2</v>
      </c>
      <c r="I36" s="7">
        <v>899.99</v>
      </c>
      <c r="J36" s="4" t="s">
        <v>22</v>
      </c>
      <c r="K36" s="4" t="s">
        <v>42</v>
      </c>
      <c r="L36" s="4" t="s">
        <v>24</v>
      </c>
      <c r="M36" s="6">
        <v>44406</v>
      </c>
      <c r="N36" s="7">
        <f t="shared" si="0"/>
        <v>1799.98</v>
      </c>
      <c r="O36" s="4"/>
      <c r="P36" s="4"/>
      <c r="Q36" s="4">
        <f t="shared" si="1"/>
        <v>23</v>
      </c>
      <c r="R36" s="4"/>
      <c r="S36" s="4" t="str">
        <v>Peter Richardson</v>
      </c>
      <c r="T36" s="4"/>
      <c r="U36" s="4"/>
      <c r="V36" s="4"/>
      <c r="W36" s="4"/>
      <c r="X36" s="4"/>
      <c r="Y36" s="4"/>
      <c r="Z36" s="4"/>
    </row>
    <row r="37" spans="1:26" ht="29.4" thickBot="1" x14ac:dyDescent="0.35">
      <c r="A37" s="4" t="s">
        <v>112</v>
      </c>
      <c r="B37" s="6">
        <v>45424</v>
      </c>
      <c r="C37" s="4" t="s">
        <v>70</v>
      </c>
      <c r="D37" s="4" t="s">
        <v>71</v>
      </c>
      <c r="E37" s="4" t="s">
        <v>107</v>
      </c>
      <c r="F37" s="4" t="s">
        <v>108</v>
      </c>
      <c r="G37" s="4" t="s">
        <v>48</v>
      </c>
      <c r="H37" s="7">
        <v>5</v>
      </c>
      <c r="I37" s="7">
        <v>299.99</v>
      </c>
      <c r="J37" s="4" t="s">
        <v>36</v>
      </c>
      <c r="K37" s="4" t="s">
        <v>65</v>
      </c>
      <c r="L37" s="4" t="s">
        <v>24</v>
      </c>
      <c r="M37" s="6">
        <v>45168</v>
      </c>
      <c r="N37" s="7">
        <f t="shared" si="0"/>
        <v>1499.95</v>
      </c>
      <c r="O37" s="4"/>
      <c r="P37" s="4"/>
      <c r="Q37" s="4">
        <f t="shared" si="1"/>
        <v>26</v>
      </c>
      <c r="R37" s="4"/>
      <c r="S37" s="4" t="str">
        <v>Susan Green</v>
      </c>
      <c r="T37" s="4"/>
      <c r="U37" s="4"/>
      <c r="V37" s="4"/>
      <c r="W37" s="4"/>
      <c r="X37" s="4"/>
      <c r="Y37" s="4"/>
      <c r="Z37" s="4"/>
    </row>
    <row r="38" spans="1:26" ht="29.4" thickBot="1" x14ac:dyDescent="0.35">
      <c r="A38" s="4" t="s">
        <v>217</v>
      </c>
      <c r="B38" s="6">
        <v>45515</v>
      </c>
      <c r="C38" s="4" t="s">
        <v>88</v>
      </c>
      <c r="D38" s="4" t="s">
        <v>89</v>
      </c>
      <c r="E38" s="4" t="s">
        <v>107</v>
      </c>
      <c r="F38" s="4" t="s">
        <v>108</v>
      </c>
      <c r="G38" s="4" t="s">
        <v>48</v>
      </c>
      <c r="H38" s="7">
        <v>5</v>
      </c>
      <c r="I38" s="7">
        <v>299.99</v>
      </c>
      <c r="J38" s="4" t="s">
        <v>28</v>
      </c>
      <c r="K38" s="4" t="s">
        <v>42</v>
      </c>
      <c r="L38" s="4" t="s">
        <v>24</v>
      </c>
      <c r="M38" s="6">
        <v>44965</v>
      </c>
      <c r="N38" s="7">
        <f t="shared" si="0"/>
        <v>1499.95</v>
      </c>
      <c r="O38" s="4"/>
      <c r="P38" s="4"/>
      <c r="Q38" s="4">
        <f t="shared" si="1"/>
        <v>26</v>
      </c>
      <c r="R38" s="4"/>
      <c r="S38" s="4" t="str">
        <v>Mark Carter</v>
      </c>
      <c r="T38" s="4"/>
      <c r="U38" s="4"/>
      <c r="V38" s="4"/>
      <c r="W38" s="4"/>
      <c r="X38" s="4"/>
      <c r="Y38" s="4"/>
      <c r="Z38" s="4"/>
    </row>
    <row r="39" spans="1:26" ht="29.4" thickBot="1" x14ac:dyDescent="0.35">
      <c r="A39" s="4" t="s">
        <v>342</v>
      </c>
      <c r="B39" s="6">
        <v>45673</v>
      </c>
      <c r="C39" s="4" t="s">
        <v>213</v>
      </c>
      <c r="D39" s="4" t="s">
        <v>214</v>
      </c>
      <c r="E39" s="4" t="s">
        <v>107</v>
      </c>
      <c r="F39" s="4" t="s">
        <v>108</v>
      </c>
      <c r="G39" s="4" t="s">
        <v>48</v>
      </c>
      <c r="H39" s="7">
        <v>5</v>
      </c>
      <c r="I39" s="7">
        <v>299.99</v>
      </c>
      <c r="J39" s="4" t="s">
        <v>59</v>
      </c>
      <c r="K39" s="4" t="s">
        <v>23</v>
      </c>
      <c r="L39" s="4" t="s">
        <v>24</v>
      </c>
      <c r="M39" s="6">
        <v>44431</v>
      </c>
      <c r="N39" s="7">
        <f t="shared" si="0"/>
        <v>1499.95</v>
      </c>
      <c r="O39" s="4"/>
      <c r="P39" s="4"/>
      <c r="Q39" s="4">
        <f t="shared" si="1"/>
        <v>26</v>
      </c>
      <c r="R39" s="4"/>
      <c r="S39" s="4" t="str">
        <v>Elizabeth Hall</v>
      </c>
      <c r="T39" s="4"/>
      <c r="U39" s="4"/>
      <c r="V39" s="4"/>
      <c r="W39" s="4"/>
      <c r="X39" s="4"/>
      <c r="Y39" s="4"/>
      <c r="Z39" s="4"/>
    </row>
    <row r="40" spans="1:26" ht="29.4" thickBot="1" x14ac:dyDescent="0.35">
      <c r="A40" s="4" t="s">
        <v>355</v>
      </c>
      <c r="B40" s="6">
        <v>45695</v>
      </c>
      <c r="C40" s="4" t="s">
        <v>95</v>
      </c>
      <c r="D40" s="4" t="s">
        <v>96</v>
      </c>
      <c r="E40" s="4" t="s">
        <v>107</v>
      </c>
      <c r="F40" s="4" t="s">
        <v>108</v>
      </c>
      <c r="G40" s="4" t="s">
        <v>48</v>
      </c>
      <c r="H40" s="7">
        <v>5</v>
      </c>
      <c r="I40" s="7">
        <v>299.99</v>
      </c>
      <c r="J40" s="4" t="s">
        <v>28</v>
      </c>
      <c r="K40" s="4" t="s">
        <v>37</v>
      </c>
      <c r="L40" s="4" t="s">
        <v>24</v>
      </c>
      <c r="M40" s="6">
        <v>44959</v>
      </c>
      <c r="N40" s="7">
        <f t="shared" si="0"/>
        <v>1499.95</v>
      </c>
      <c r="O40" s="4"/>
      <c r="P40" s="4"/>
      <c r="Q40" s="4">
        <f t="shared" si="1"/>
        <v>26</v>
      </c>
      <c r="R40" s="4"/>
      <c r="S40" s="4" t="str">
        <v>Virginia Sanders</v>
      </c>
      <c r="T40" s="4"/>
      <c r="U40" s="4"/>
      <c r="V40" s="4"/>
      <c r="W40" s="4"/>
      <c r="X40" s="4"/>
      <c r="Y40" s="4"/>
      <c r="Z40" s="4"/>
    </row>
    <row r="41" spans="1:26" ht="29.4" thickBot="1" x14ac:dyDescent="0.35">
      <c r="A41" s="4" t="s">
        <v>365</v>
      </c>
      <c r="B41" s="6">
        <v>45710</v>
      </c>
      <c r="C41" s="4" t="s">
        <v>57</v>
      </c>
      <c r="D41" s="4" t="s">
        <v>58</v>
      </c>
      <c r="E41" s="4" t="s">
        <v>107</v>
      </c>
      <c r="F41" s="4" t="s">
        <v>108</v>
      </c>
      <c r="G41" s="4" t="s">
        <v>48</v>
      </c>
      <c r="H41" s="7">
        <v>5</v>
      </c>
      <c r="I41" s="7">
        <v>299.99</v>
      </c>
      <c r="J41" s="4" t="s">
        <v>22</v>
      </c>
      <c r="K41" s="4" t="s">
        <v>52</v>
      </c>
      <c r="L41" s="4" t="s">
        <v>38</v>
      </c>
      <c r="M41" s="6">
        <v>45142</v>
      </c>
      <c r="N41" s="7">
        <f t="shared" si="0"/>
        <v>1499.95</v>
      </c>
      <c r="O41" s="4"/>
      <c r="P41" s="4"/>
      <c r="Q41" s="4">
        <f t="shared" si="1"/>
        <v>26</v>
      </c>
      <c r="R41" s="4"/>
      <c r="S41" s="4" t="str">
        <v>Charles Allen</v>
      </c>
      <c r="T41" s="4"/>
      <c r="U41" s="4"/>
      <c r="V41" s="4"/>
      <c r="W41" s="4"/>
      <c r="X41" s="4"/>
      <c r="Y41" s="4"/>
      <c r="Z41" s="4"/>
    </row>
    <row r="42" spans="1:26" ht="29.4" thickBot="1" x14ac:dyDescent="0.35">
      <c r="A42" s="4" t="s">
        <v>90</v>
      </c>
      <c r="B42" s="6">
        <v>45410</v>
      </c>
      <c r="C42" s="4" t="s">
        <v>91</v>
      </c>
      <c r="D42" s="4" t="s">
        <v>92</v>
      </c>
      <c r="E42" s="4" t="s">
        <v>82</v>
      </c>
      <c r="F42" s="4" t="s">
        <v>83</v>
      </c>
      <c r="G42" s="4" t="s">
        <v>21</v>
      </c>
      <c r="H42" s="7">
        <v>2</v>
      </c>
      <c r="I42" s="7">
        <v>699.99</v>
      </c>
      <c r="J42" s="4" t="s">
        <v>22</v>
      </c>
      <c r="K42" s="4" t="s">
        <v>42</v>
      </c>
      <c r="L42" s="4" t="s">
        <v>24</v>
      </c>
      <c r="M42" s="6">
        <v>44781</v>
      </c>
      <c r="N42" s="7">
        <f t="shared" si="0"/>
        <v>1399.98</v>
      </c>
      <c r="O42" s="4"/>
      <c r="P42" s="4"/>
      <c r="Q42" s="4">
        <f t="shared" si="1"/>
        <v>31</v>
      </c>
      <c r="R42" s="4"/>
      <c r="S42" s="4" t="str">
        <v>Maria Garcia</v>
      </c>
      <c r="T42" s="4"/>
      <c r="U42" s="4"/>
      <c r="V42" s="4"/>
      <c r="W42" s="4"/>
      <c r="X42" s="4"/>
      <c r="Y42" s="4"/>
      <c r="Z42" s="4"/>
    </row>
    <row r="43" spans="1:26" ht="29.4" thickBot="1" x14ac:dyDescent="0.35">
      <c r="A43" s="4" t="s">
        <v>189</v>
      </c>
      <c r="B43" s="6">
        <v>45481</v>
      </c>
      <c r="C43" s="4" t="s">
        <v>44</v>
      </c>
      <c r="D43" s="4" t="s">
        <v>45</v>
      </c>
      <c r="E43" s="4" t="s">
        <v>82</v>
      </c>
      <c r="F43" s="4" t="s">
        <v>83</v>
      </c>
      <c r="G43" s="4" t="s">
        <v>21</v>
      </c>
      <c r="H43" s="7">
        <v>2</v>
      </c>
      <c r="I43" s="7">
        <v>699.99</v>
      </c>
      <c r="J43" s="4" t="s">
        <v>36</v>
      </c>
      <c r="K43" s="4" t="s">
        <v>65</v>
      </c>
      <c r="L43" s="4" t="s">
        <v>29</v>
      </c>
      <c r="M43" s="6">
        <v>45389</v>
      </c>
      <c r="N43" s="7">
        <f t="shared" si="0"/>
        <v>1399.98</v>
      </c>
      <c r="O43" s="4"/>
      <c r="P43" s="4"/>
      <c r="Q43" s="4">
        <f t="shared" si="1"/>
        <v>31</v>
      </c>
      <c r="R43" s="4"/>
      <c r="S43" s="4" t="str">
        <v>Michael Brown</v>
      </c>
      <c r="T43" s="4"/>
      <c r="U43" s="4"/>
      <c r="V43" s="4"/>
      <c r="W43" s="4"/>
      <c r="X43" s="4"/>
      <c r="Y43" s="4"/>
      <c r="Z43" s="4"/>
    </row>
    <row r="44" spans="1:26" ht="29.4" thickBot="1" x14ac:dyDescent="0.35">
      <c r="A44" s="4" t="s">
        <v>210</v>
      </c>
      <c r="B44" s="6">
        <v>45503</v>
      </c>
      <c r="C44" s="4" t="s">
        <v>88</v>
      </c>
      <c r="D44" s="4" t="s">
        <v>89</v>
      </c>
      <c r="E44" s="4" t="s">
        <v>82</v>
      </c>
      <c r="F44" s="4" t="s">
        <v>83</v>
      </c>
      <c r="G44" s="4" t="s">
        <v>21</v>
      </c>
      <c r="H44" s="7">
        <v>2</v>
      </c>
      <c r="I44" s="7">
        <v>699.99</v>
      </c>
      <c r="J44" s="4" t="s">
        <v>28</v>
      </c>
      <c r="K44" s="4" t="s">
        <v>42</v>
      </c>
      <c r="L44" s="4" t="s">
        <v>29</v>
      </c>
      <c r="M44" s="6">
        <v>44999</v>
      </c>
      <c r="N44" s="7">
        <f t="shared" si="0"/>
        <v>1399.98</v>
      </c>
      <c r="O44" s="4"/>
      <c r="P44" s="4"/>
      <c r="Q44" s="4">
        <f t="shared" si="1"/>
        <v>31</v>
      </c>
      <c r="R44" s="4"/>
      <c r="S44" s="4" t="str">
        <v>Mark Carter</v>
      </c>
      <c r="T44" s="4"/>
      <c r="U44" s="4"/>
      <c r="V44" s="4"/>
      <c r="W44" s="4"/>
      <c r="X44" s="4"/>
      <c r="Y44" s="4"/>
      <c r="Z44" s="4"/>
    </row>
    <row r="45" spans="1:26" ht="29.4" thickBot="1" x14ac:dyDescent="0.35">
      <c r="A45" s="4" t="s">
        <v>235</v>
      </c>
      <c r="B45" s="6">
        <v>45534</v>
      </c>
      <c r="C45" s="4" t="s">
        <v>236</v>
      </c>
      <c r="D45" s="4" t="s">
        <v>237</v>
      </c>
      <c r="E45" s="4" t="s">
        <v>82</v>
      </c>
      <c r="F45" s="4" t="s">
        <v>83</v>
      </c>
      <c r="G45" s="4" t="s">
        <v>21</v>
      </c>
      <c r="H45" s="7">
        <v>2</v>
      </c>
      <c r="I45" s="7">
        <v>699.99</v>
      </c>
      <c r="J45" s="4" t="s">
        <v>28</v>
      </c>
      <c r="K45" s="4" t="s">
        <v>42</v>
      </c>
      <c r="L45" s="4" t="s">
        <v>29</v>
      </c>
      <c r="M45" s="6">
        <v>44421</v>
      </c>
      <c r="N45" s="7">
        <f t="shared" si="0"/>
        <v>1399.98</v>
      </c>
      <c r="O45" s="4"/>
      <c r="P45" s="4"/>
      <c r="Q45" s="4">
        <f t="shared" si="1"/>
        <v>31</v>
      </c>
      <c r="R45" s="4"/>
      <c r="S45" s="4" t="str">
        <v>Sandra Phillips</v>
      </c>
      <c r="T45" s="4"/>
      <c r="U45" s="4"/>
      <c r="V45" s="4"/>
      <c r="W45" s="4"/>
      <c r="X45" s="4"/>
      <c r="Y45" s="4"/>
      <c r="Z45" s="4"/>
    </row>
    <row r="46" spans="1:26" ht="29.4" thickBot="1" x14ac:dyDescent="0.35">
      <c r="A46" s="4" t="s">
        <v>240</v>
      </c>
      <c r="B46" s="6">
        <v>45538</v>
      </c>
      <c r="C46" s="4" t="s">
        <v>228</v>
      </c>
      <c r="D46" s="4" t="s">
        <v>229</v>
      </c>
      <c r="E46" s="4" t="s">
        <v>82</v>
      </c>
      <c r="F46" s="4" t="s">
        <v>83</v>
      </c>
      <c r="G46" s="4" t="s">
        <v>21</v>
      </c>
      <c r="H46" s="7">
        <v>2</v>
      </c>
      <c r="I46" s="7">
        <v>699.99</v>
      </c>
      <c r="J46" s="4" t="s">
        <v>59</v>
      </c>
      <c r="K46" s="4" t="s">
        <v>23</v>
      </c>
      <c r="L46" s="4" t="s">
        <v>29</v>
      </c>
      <c r="M46" s="6">
        <v>44870</v>
      </c>
      <c r="N46" s="7">
        <f t="shared" si="0"/>
        <v>1399.98</v>
      </c>
      <c r="O46" s="4"/>
      <c r="P46" s="4"/>
      <c r="Q46" s="4">
        <f t="shared" si="1"/>
        <v>31</v>
      </c>
      <c r="R46" s="4"/>
      <c r="S46" s="4" t="str">
        <v>Lawrence Reed</v>
      </c>
      <c r="T46" s="4"/>
      <c r="U46" s="4"/>
      <c r="V46" s="4"/>
      <c r="W46" s="4"/>
      <c r="X46" s="4"/>
      <c r="Y46" s="4"/>
      <c r="Z46" s="4"/>
    </row>
    <row r="47" spans="1:26" ht="29.4" thickBot="1" x14ac:dyDescent="0.35">
      <c r="A47" s="4" t="s">
        <v>266</v>
      </c>
      <c r="B47" s="6">
        <v>45573</v>
      </c>
      <c r="C47" s="4" t="s">
        <v>213</v>
      </c>
      <c r="D47" s="4" t="s">
        <v>214</v>
      </c>
      <c r="E47" s="4" t="s">
        <v>82</v>
      </c>
      <c r="F47" s="4" t="s">
        <v>83</v>
      </c>
      <c r="G47" s="4" t="s">
        <v>21</v>
      </c>
      <c r="H47" s="7">
        <v>2</v>
      </c>
      <c r="I47" s="7">
        <v>699.99</v>
      </c>
      <c r="J47" s="4" t="s">
        <v>59</v>
      </c>
      <c r="K47" s="4" t="s">
        <v>65</v>
      </c>
      <c r="L47" s="4" t="s">
        <v>29</v>
      </c>
      <c r="M47" s="6">
        <v>45274</v>
      </c>
      <c r="N47" s="7">
        <f t="shared" si="0"/>
        <v>1399.98</v>
      </c>
      <c r="O47" s="4"/>
      <c r="P47" s="4"/>
      <c r="Q47" s="4">
        <f t="shared" si="1"/>
        <v>31</v>
      </c>
      <c r="R47" s="4"/>
      <c r="S47" s="4" t="str">
        <v>Elizabeth Hall</v>
      </c>
      <c r="T47" s="4"/>
      <c r="U47" s="4"/>
      <c r="V47" s="4"/>
      <c r="W47" s="4"/>
      <c r="X47" s="4"/>
      <c r="Y47" s="4"/>
      <c r="Z47" s="4"/>
    </row>
    <row r="48" spans="1:26" ht="29.4" thickBot="1" x14ac:dyDescent="0.35">
      <c r="A48" s="4" t="s">
        <v>276</v>
      </c>
      <c r="B48" s="6">
        <v>45588</v>
      </c>
      <c r="C48" s="4" t="s">
        <v>156</v>
      </c>
      <c r="D48" s="4" t="s">
        <v>157</v>
      </c>
      <c r="E48" s="4" t="s">
        <v>82</v>
      </c>
      <c r="F48" s="4" t="s">
        <v>83</v>
      </c>
      <c r="G48" s="4" t="s">
        <v>21</v>
      </c>
      <c r="H48" s="7">
        <v>2</v>
      </c>
      <c r="I48" s="7">
        <v>699.99</v>
      </c>
      <c r="J48" s="4" t="s">
        <v>22</v>
      </c>
      <c r="K48" s="4" t="s">
        <v>23</v>
      </c>
      <c r="L48" s="4" t="s">
        <v>24</v>
      </c>
      <c r="M48" s="6">
        <v>44992</v>
      </c>
      <c r="N48" s="7">
        <f t="shared" si="0"/>
        <v>1399.98</v>
      </c>
      <c r="O48" s="4"/>
      <c r="P48" s="4"/>
      <c r="Q48" s="4">
        <f t="shared" si="1"/>
        <v>31</v>
      </c>
      <c r="R48" s="4"/>
      <c r="S48" s="4" t="str">
        <v>Sarah Davis</v>
      </c>
      <c r="T48" s="4"/>
      <c r="U48" s="4"/>
      <c r="V48" s="4"/>
      <c r="W48" s="4"/>
      <c r="X48" s="4"/>
      <c r="Y48" s="4"/>
      <c r="Z48" s="4"/>
    </row>
    <row r="49" spans="1:26" ht="29.4" thickBot="1" x14ac:dyDescent="0.35">
      <c r="A49" s="4" t="s">
        <v>290</v>
      </c>
      <c r="B49" s="6">
        <v>45613</v>
      </c>
      <c r="C49" s="4" t="s">
        <v>88</v>
      </c>
      <c r="D49" s="4" t="s">
        <v>89</v>
      </c>
      <c r="E49" s="4" t="s">
        <v>82</v>
      </c>
      <c r="F49" s="4" t="s">
        <v>83</v>
      </c>
      <c r="G49" s="4" t="s">
        <v>21</v>
      </c>
      <c r="H49" s="7">
        <v>2</v>
      </c>
      <c r="I49" s="7">
        <v>699.99</v>
      </c>
      <c r="J49" s="4" t="s">
        <v>36</v>
      </c>
      <c r="K49" s="4" t="s">
        <v>52</v>
      </c>
      <c r="L49" s="4" t="s">
        <v>38</v>
      </c>
      <c r="M49" s="6">
        <v>44770</v>
      </c>
      <c r="N49" s="7">
        <f t="shared" si="0"/>
        <v>1399.98</v>
      </c>
      <c r="O49" s="4"/>
      <c r="P49" s="4"/>
      <c r="Q49" s="4">
        <f t="shared" si="1"/>
        <v>31</v>
      </c>
      <c r="R49" s="4"/>
      <c r="S49" s="4" t="str">
        <v>Mark Carter</v>
      </c>
      <c r="T49" s="4"/>
      <c r="U49" s="4"/>
      <c r="V49" s="4"/>
      <c r="W49" s="4"/>
      <c r="X49" s="4"/>
      <c r="Y49" s="4"/>
      <c r="Z49" s="4"/>
    </row>
    <row r="50" spans="1:26" ht="29.4" thickBot="1" x14ac:dyDescent="0.35">
      <c r="A50" s="4" t="s">
        <v>349</v>
      </c>
      <c r="B50" s="6">
        <v>45686</v>
      </c>
      <c r="C50" s="4" t="s">
        <v>295</v>
      </c>
      <c r="D50" s="4" t="s">
        <v>296</v>
      </c>
      <c r="E50" s="4" t="s">
        <v>82</v>
      </c>
      <c r="F50" s="4" t="s">
        <v>83</v>
      </c>
      <c r="G50" s="4" t="s">
        <v>21</v>
      </c>
      <c r="H50" s="7">
        <v>2</v>
      </c>
      <c r="I50" s="7">
        <v>699.99</v>
      </c>
      <c r="J50" s="4" t="s">
        <v>59</v>
      </c>
      <c r="K50" s="4" t="s">
        <v>23</v>
      </c>
      <c r="L50" s="4" t="s">
        <v>29</v>
      </c>
      <c r="M50" s="6">
        <v>44681</v>
      </c>
      <c r="N50" s="7">
        <f t="shared" si="0"/>
        <v>1399.98</v>
      </c>
      <c r="O50" s="4"/>
      <c r="P50" s="4"/>
      <c r="Q50" s="4">
        <f t="shared" si="1"/>
        <v>31</v>
      </c>
      <c r="R50" s="4"/>
      <c r="S50" s="4" t="str">
        <v>Douglas Watson</v>
      </c>
      <c r="T50" s="4"/>
      <c r="U50" s="4"/>
      <c r="V50" s="4"/>
      <c r="W50" s="4"/>
      <c r="X50" s="4"/>
      <c r="Y50" s="4"/>
      <c r="Z50" s="4"/>
    </row>
    <row r="51" spans="1:26" ht="29.4" thickBot="1" x14ac:dyDescent="0.35">
      <c r="A51" s="4" t="s">
        <v>394</v>
      </c>
      <c r="B51" s="6">
        <v>45748</v>
      </c>
      <c r="C51" s="4" t="s">
        <v>104</v>
      </c>
      <c r="D51" s="4" t="s">
        <v>105</v>
      </c>
      <c r="E51" s="4" t="s">
        <v>82</v>
      </c>
      <c r="F51" s="4" t="s">
        <v>83</v>
      </c>
      <c r="G51" s="4" t="s">
        <v>21</v>
      </c>
      <c r="H51" s="7">
        <v>2</v>
      </c>
      <c r="I51" s="7">
        <v>699.99</v>
      </c>
      <c r="J51" s="4" t="s">
        <v>36</v>
      </c>
      <c r="K51" s="4" t="s">
        <v>42</v>
      </c>
      <c r="L51" s="4" t="s">
        <v>38</v>
      </c>
      <c r="M51" s="6">
        <v>44618</v>
      </c>
      <c r="N51" s="7">
        <f t="shared" si="0"/>
        <v>1399.98</v>
      </c>
      <c r="O51" s="4"/>
      <c r="P51" s="4"/>
      <c r="Q51" s="4">
        <f t="shared" si="1"/>
        <v>31</v>
      </c>
      <c r="R51" s="4"/>
      <c r="S51" s="4" t="str">
        <v>Cynthia Price</v>
      </c>
      <c r="T51" s="4"/>
      <c r="U51" s="4"/>
      <c r="V51" s="4"/>
      <c r="W51" s="4"/>
      <c r="X51" s="4"/>
      <c r="Y51" s="4"/>
      <c r="Z51" s="4"/>
    </row>
    <row r="52" spans="1:26" ht="29.4" thickBot="1" x14ac:dyDescent="0.35">
      <c r="A52" s="4" t="s">
        <v>109</v>
      </c>
      <c r="B52" s="6">
        <v>45422</v>
      </c>
      <c r="C52" s="4" t="s">
        <v>110</v>
      </c>
      <c r="D52" s="4" t="s">
        <v>111</v>
      </c>
      <c r="E52" s="4" t="s">
        <v>19</v>
      </c>
      <c r="F52" s="4" t="s">
        <v>20</v>
      </c>
      <c r="G52" s="4" t="s">
        <v>21</v>
      </c>
      <c r="H52" s="7">
        <v>5</v>
      </c>
      <c r="I52" s="7">
        <v>249.99</v>
      </c>
      <c r="J52" s="4" t="s">
        <v>28</v>
      </c>
      <c r="K52" s="4" t="s">
        <v>52</v>
      </c>
      <c r="L52" s="4" t="s">
        <v>38</v>
      </c>
      <c r="M52" s="6">
        <v>44525</v>
      </c>
      <c r="N52" s="7">
        <f t="shared" si="0"/>
        <v>1249.95</v>
      </c>
      <c r="O52" s="4"/>
      <c r="P52" s="4"/>
      <c r="Q52" s="4">
        <f t="shared" si="1"/>
        <v>26</v>
      </c>
      <c r="R52" s="4"/>
      <c r="S52" s="4" t="str">
        <v>Nancy Collins</v>
      </c>
      <c r="T52" s="4"/>
      <c r="U52" s="4"/>
      <c r="V52" s="4"/>
      <c r="W52" s="4"/>
      <c r="X52" s="4"/>
      <c r="Y52" s="4"/>
      <c r="Z52" s="4"/>
    </row>
    <row r="53" spans="1:26" ht="29.4" thickBot="1" x14ac:dyDescent="0.35">
      <c r="A53" s="4" t="s">
        <v>158</v>
      </c>
      <c r="B53" s="6">
        <v>45449</v>
      </c>
      <c r="C53" s="4" t="s">
        <v>26</v>
      </c>
      <c r="D53" s="4" t="s">
        <v>27</v>
      </c>
      <c r="E53" s="4" t="s">
        <v>19</v>
      </c>
      <c r="F53" s="4" t="s">
        <v>20</v>
      </c>
      <c r="G53" s="4" t="s">
        <v>21</v>
      </c>
      <c r="H53" s="7">
        <v>5</v>
      </c>
      <c r="I53" s="7">
        <v>249.99</v>
      </c>
      <c r="J53" s="4" t="s">
        <v>28</v>
      </c>
      <c r="K53" s="4" t="s">
        <v>65</v>
      </c>
      <c r="L53" s="4" t="s">
        <v>38</v>
      </c>
      <c r="M53" s="6">
        <v>44707</v>
      </c>
      <c r="N53" s="7">
        <f t="shared" si="0"/>
        <v>1249.95</v>
      </c>
      <c r="O53" s="4"/>
      <c r="P53" s="4"/>
      <c r="Q53" s="4">
        <f t="shared" si="1"/>
        <v>26</v>
      </c>
      <c r="R53" s="4"/>
      <c r="S53" s="4" t="str">
        <v>Joseph Jackson</v>
      </c>
      <c r="T53" s="4"/>
      <c r="U53" s="4"/>
      <c r="V53" s="4"/>
      <c r="W53" s="4"/>
      <c r="X53" s="4"/>
      <c r="Y53" s="4"/>
      <c r="Z53" s="4"/>
    </row>
    <row r="54" spans="1:26" ht="29.4" thickBot="1" x14ac:dyDescent="0.35">
      <c r="A54" s="4" t="s">
        <v>219</v>
      </c>
      <c r="B54" s="6">
        <v>45517</v>
      </c>
      <c r="C54" s="4" t="s">
        <v>187</v>
      </c>
      <c r="D54" s="4" t="s">
        <v>188</v>
      </c>
      <c r="E54" s="4" t="s">
        <v>19</v>
      </c>
      <c r="F54" s="4" t="s">
        <v>20</v>
      </c>
      <c r="G54" s="4" t="s">
        <v>21</v>
      </c>
      <c r="H54" s="7">
        <v>5</v>
      </c>
      <c r="I54" s="7">
        <v>249.99</v>
      </c>
      <c r="J54" s="4" t="s">
        <v>36</v>
      </c>
      <c r="K54" s="4" t="s">
        <v>65</v>
      </c>
      <c r="L54" s="4" t="s">
        <v>29</v>
      </c>
      <c r="M54" s="6">
        <v>44782</v>
      </c>
      <c r="N54" s="7">
        <f t="shared" si="0"/>
        <v>1249.95</v>
      </c>
      <c r="O54" s="4"/>
      <c r="P54" s="4"/>
      <c r="Q54" s="4">
        <f t="shared" si="1"/>
        <v>26</v>
      </c>
      <c r="R54" s="4"/>
      <c r="S54" s="4" t="str">
        <v>Margaret Wright</v>
      </c>
      <c r="T54" s="4"/>
      <c r="U54" s="4"/>
      <c r="V54" s="4"/>
      <c r="W54" s="4"/>
      <c r="X54" s="4"/>
      <c r="Y54" s="4"/>
      <c r="Z54" s="4"/>
    </row>
    <row r="55" spans="1:26" ht="29.4" thickBot="1" x14ac:dyDescent="0.35">
      <c r="A55" s="4" t="s">
        <v>279</v>
      </c>
      <c r="B55" s="6">
        <v>45597</v>
      </c>
      <c r="C55" s="4" t="s">
        <v>17</v>
      </c>
      <c r="D55" s="4" t="s">
        <v>18</v>
      </c>
      <c r="E55" s="4" t="s">
        <v>19</v>
      </c>
      <c r="F55" s="4" t="s">
        <v>20</v>
      </c>
      <c r="G55" s="4" t="s">
        <v>21</v>
      </c>
      <c r="H55" s="7">
        <v>5</v>
      </c>
      <c r="I55" s="7">
        <v>249.99</v>
      </c>
      <c r="J55" s="4" t="s">
        <v>28</v>
      </c>
      <c r="K55" s="4" t="s">
        <v>37</v>
      </c>
      <c r="L55" s="4" t="s">
        <v>38</v>
      </c>
      <c r="M55" s="6">
        <v>44881</v>
      </c>
      <c r="N55" s="7">
        <f t="shared" si="0"/>
        <v>1249.95</v>
      </c>
      <c r="O55" s="4"/>
      <c r="P55" s="4"/>
      <c r="Q55" s="4">
        <f t="shared" si="1"/>
        <v>26</v>
      </c>
      <c r="R55" s="4"/>
      <c r="S55" s="4" t="str">
        <v>Paul Baker</v>
      </c>
      <c r="T55" s="4"/>
      <c r="U55" s="4"/>
      <c r="V55" s="4"/>
      <c r="W55" s="4"/>
      <c r="X55" s="4"/>
      <c r="Y55" s="4"/>
      <c r="Z55" s="4"/>
    </row>
    <row r="56" spans="1:26" ht="29.4" thickBot="1" x14ac:dyDescent="0.35">
      <c r="A56" s="4" t="s">
        <v>294</v>
      </c>
      <c r="B56" s="6">
        <v>45622</v>
      </c>
      <c r="C56" s="4" t="s">
        <v>295</v>
      </c>
      <c r="D56" s="4" t="s">
        <v>296</v>
      </c>
      <c r="E56" s="4" t="s">
        <v>19</v>
      </c>
      <c r="F56" s="4" t="s">
        <v>20</v>
      </c>
      <c r="G56" s="4" t="s">
        <v>21</v>
      </c>
      <c r="H56" s="7">
        <v>5</v>
      </c>
      <c r="I56" s="7">
        <v>249.99</v>
      </c>
      <c r="J56" s="4" t="s">
        <v>28</v>
      </c>
      <c r="K56" s="4" t="s">
        <v>42</v>
      </c>
      <c r="L56" s="4" t="s">
        <v>24</v>
      </c>
      <c r="M56" s="6">
        <v>44873</v>
      </c>
      <c r="N56" s="7">
        <f t="shared" si="0"/>
        <v>1249.95</v>
      </c>
      <c r="O56" s="4"/>
      <c r="P56" s="4"/>
      <c r="Q56" s="4">
        <f t="shared" si="1"/>
        <v>26</v>
      </c>
      <c r="R56" s="4"/>
      <c r="S56" s="4" t="str">
        <v>Douglas Watson</v>
      </c>
      <c r="T56" s="4"/>
      <c r="U56" s="4"/>
      <c r="V56" s="4"/>
      <c r="W56" s="4"/>
      <c r="X56" s="4"/>
      <c r="Y56" s="4"/>
      <c r="Z56" s="4"/>
    </row>
    <row r="57" spans="1:26" ht="29.4" thickBot="1" x14ac:dyDescent="0.35">
      <c r="A57" s="4" t="s">
        <v>299</v>
      </c>
      <c r="B57" s="6">
        <v>45627</v>
      </c>
      <c r="C57" s="4" t="s">
        <v>57</v>
      </c>
      <c r="D57" s="4" t="s">
        <v>58</v>
      </c>
      <c r="E57" s="4" t="s">
        <v>19</v>
      </c>
      <c r="F57" s="4" t="s">
        <v>20</v>
      </c>
      <c r="G57" s="4" t="s">
        <v>21</v>
      </c>
      <c r="H57" s="7">
        <v>5</v>
      </c>
      <c r="I57" s="7">
        <v>249.99</v>
      </c>
      <c r="J57" s="4" t="s">
        <v>22</v>
      </c>
      <c r="K57" s="4" t="s">
        <v>23</v>
      </c>
      <c r="L57" s="4" t="s">
        <v>29</v>
      </c>
      <c r="M57" s="6">
        <v>44485</v>
      </c>
      <c r="N57" s="7">
        <f t="shared" si="0"/>
        <v>1249.95</v>
      </c>
      <c r="O57" s="4"/>
      <c r="P57" s="4"/>
      <c r="Q57" s="4">
        <f t="shared" si="1"/>
        <v>26</v>
      </c>
      <c r="R57" s="4"/>
      <c r="S57" s="4" t="str">
        <v>Charles Allen</v>
      </c>
      <c r="T57" s="4"/>
      <c r="U57" s="4"/>
      <c r="V57" s="4"/>
      <c r="W57" s="4"/>
      <c r="X57" s="4"/>
      <c r="Y57" s="4"/>
      <c r="Z57" s="4"/>
    </row>
    <row r="58" spans="1:26" ht="29.4" thickBot="1" x14ac:dyDescent="0.35">
      <c r="A58" s="4" t="s">
        <v>333</v>
      </c>
      <c r="B58" s="6">
        <v>45667</v>
      </c>
      <c r="C58" s="4" t="s">
        <v>95</v>
      </c>
      <c r="D58" s="4" t="s">
        <v>96</v>
      </c>
      <c r="E58" s="4" t="s">
        <v>19</v>
      </c>
      <c r="F58" s="4" t="s">
        <v>20</v>
      </c>
      <c r="G58" s="4" t="s">
        <v>21</v>
      </c>
      <c r="H58" s="7">
        <v>5</v>
      </c>
      <c r="I58" s="7">
        <v>249.99</v>
      </c>
      <c r="J58" s="4" t="s">
        <v>28</v>
      </c>
      <c r="K58" s="4" t="s">
        <v>37</v>
      </c>
      <c r="L58" s="4" t="s">
        <v>24</v>
      </c>
      <c r="M58" s="6">
        <v>45330</v>
      </c>
      <c r="N58" s="7">
        <f t="shared" si="0"/>
        <v>1249.95</v>
      </c>
      <c r="O58" s="4"/>
      <c r="P58" s="4"/>
      <c r="Q58" s="4">
        <f t="shared" si="1"/>
        <v>26</v>
      </c>
      <c r="R58" s="4"/>
      <c r="S58" s="4" t="str">
        <v>Virginia Sanders</v>
      </c>
      <c r="T58" s="4"/>
      <c r="U58" s="4"/>
      <c r="V58" s="4"/>
      <c r="W58" s="4"/>
      <c r="X58" s="4"/>
      <c r="Y58" s="4"/>
      <c r="Z58" s="4"/>
    </row>
    <row r="59" spans="1:26" ht="29.4" thickBot="1" x14ac:dyDescent="0.35">
      <c r="A59" s="4" t="s">
        <v>377</v>
      </c>
      <c r="B59" s="6">
        <v>45723</v>
      </c>
      <c r="C59" s="4" t="s">
        <v>122</v>
      </c>
      <c r="D59" s="4" t="s">
        <v>123</v>
      </c>
      <c r="E59" s="4" t="s">
        <v>19</v>
      </c>
      <c r="F59" s="4" t="s">
        <v>20</v>
      </c>
      <c r="G59" s="4" t="s">
        <v>21</v>
      </c>
      <c r="H59" s="7">
        <v>5</v>
      </c>
      <c r="I59" s="7">
        <v>249.99</v>
      </c>
      <c r="J59" s="4" t="s">
        <v>22</v>
      </c>
      <c r="K59" s="4" t="s">
        <v>65</v>
      </c>
      <c r="L59" s="4" t="s">
        <v>38</v>
      </c>
      <c r="M59" s="6">
        <v>44540</v>
      </c>
      <c r="N59" s="7">
        <f t="shared" si="0"/>
        <v>1249.95</v>
      </c>
      <c r="O59" s="4"/>
      <c r="P59" s="4"/>
      <c r="Q59" s="4">
        <f t="shared" si="1"/>
        <v>26</v>
      </c>
      <c r="R59" s="4"/>
      <c r="S59" s="4" t="str">
        <v>Helen Roberts</v>
      </c>
      <c r="T59" s="4"/>
      <c r="U59" s="4"/>
      <c r="V59" s="4"/>
      <c r="W59" s="4"/>
      <c r="X59" s="4"/>
      <c r="Y59" s="4"/>
      <c r="Z59" s="4"/>
    </row>
    <row r="60" spans="1:26" ht="29.4" thickBot="1" x14ac:dyDescent="0.35">
      <c r="A60" s="4" t="s">
        <v>106</v>
      </c>
      <c r="B60" s="6">
        <v>45416</v>
      </c>
      <c r="C60" s="4" t="s">
        <v>88</v>
      </c>
      <c r="D60" s="4" t="s">
        <v>89</v>
      </c>
      <c r="E60" s="4" t="s">
        <v>107</v>
      </c>
      <c r="F60" s="4" t="s">
        <v>108</v>
      </c>
      <c r="G60" s="4" t="s">
        <v>48</v>
      </c>
      <c r="H60" s="7">
        <v>4</v>
      </c>
      <c r="I60" s="7">
        <v>299.99</v>
      </c>
      <c r="J60" s="4" t="s">
        <v>22</v>
      </c>
      <c r="K60" s="4" t="s">
        <v>52</v>
      </c>
      <c r="L60" s="4" t="s">
        <v>29</v>
      </c>
      <c r="M60" s="6">
        <v>44716</v>
      </c>
      <c r="N60" s="7">
        <f t="shared" si="0"/>
        <v>1199.96</v>
      </c>
      <c r="O60" s="4"/>
      <c r="P60" s="4"/>
      <c r="Q60" s="4">
        <f t="shared" si="1"/>
        <v>26</v>
      </c>
      <c r="R60" s="4"/>
      <c r="S60" s="4" t="str">
        <v>Mark Carter</v>
      </c>
      <c r="T60" s="4"/>
      <c r="U60" s="4"/>
      <c r="V60" s="4"/>
      <c r="W60" s="4"/>
      <c r="X60" s="4"/>
      <c r="Y60" s="4"/>
      <c r="Z60" s="4"/>
    </row>
    <row r="61" spans="1:26" ht="29.4" thickBot="1" x14ac:dyDescent="0.35">
      <c r="A61" s="4" t="s">
        <v>263</v>
      </c>
      <c r="B61" s="6">
        <v>45566</v>
      </c>
      <c r="C61" s="4" t="s">
        <v>44</v>
      </c>
      <c r="D61" s="4" t="s">
        <v>45</v>
      </c>
      <c r="E61" s="4" t="s">
        <v>107</v>
      </c>
      <c r="F61" s="4" t="s">
        <v>108</v>
      </c>
      <c r="G61" s="4" t="s">
        <v>48</v>
      </c>
      <c r="H61" s="7">
        <v>4</v>
      </c>
      <c r="I61" s="7">
        <v>299.99</v>
      </c>
      <c r="J61" s="4" t="s">
        <v>22</v>
      </c>
      <c r="K61" s="4" t="s">
        <v>23</v>
      </c>
      <c r="L61" s="4" t="s">
        <v>29</v>
      </c>
      <c r="M61" s="6">
        <v>44460</v>
      </c>
      <c r="N61" s="7">
        <f t="shared" si="0"/>
        <v>1199.96</v>
      </c>
      <c r="O61" s="4"/>
      <c r="P61" s="4"/>
      <c r="Q61" s="4">
        <f t="shared" si="1"/>
        <v>26</v>
      </c>
      <c r="R61" s="4"/>
      <c r="S61" s="4" t="str">
        <v>Michael Brown</v>
      </c>
      <c r="T61" s="4"/>
      <c r="U61" s="4"/>
      <c r="V61" s="4"/>
      <c r="W61" s="4"/>
      <c r="X61" s="4"/>
      <c r="Y61" s="4"/>
      <c r="Z61" s="4"/>
    </row>
    <row r="62" spans="1:26" ht="29.4" thickBot="1" x14ac:dyDescent="0.35">
      <c r="A62" s="4" t="s">
        <v>103</v>
      </c>
      <c r="B62" s="6">
        <v>45415</v>
      </c>
      <c r="C62" s="4" t="s">
        <v>104</v>
      </c>
      <c r="D62" s="4" t="s">
        <v>105</v>
      </c>
      <c r="E62" s="4" t="s">
        <v>19</v>
      </c>
      <c r="F62" s="4" t="s">
        <v>20</v>
      </c>
      <c r="G62" s="4" t="s">
        <v>21</v>
      </c>
      <c r="H62" s="7">
        <v>4</v>
      </c>
      <c r="I62" s="7">
        <v>249.99</v>
      </c>
      <c r="J62" s="4" t="s">
        <v>36</v>
      </c>
      <c r="K62" s="4" t="s">
        <v>42</v>
      </c>
      <c r="L62" s="4" t="s">
        <v>38</v>
      </c>
      <c r="M62" s="6">
        <v>44468</v>
      </c>
      <c r="N62" s="7">
        <f t="shared" si="0"/>
        <v>999.96</v>
      </c>
      <c r="O62" s="4"/>
      <c r="P62" s="4"/>
      <c r="Q62" s="4">
        <f t="shared" si="1"/>
        <v>26</v>
      </c>
      <c r="R62" s="4"/>
      <c r="S62" s="4" t="str">
        <v>Cynthia Price</v>
      </c>
      <c r="T62" s="4"/>
      <c r="U62" s="4"/>
      <c r="V62" s="4"/>
      <c r="W62" s="4"/>
      <c r="X62" s="4"/>
      <c r="Y62" s="4"/>
      <c r="Z62" s="4"/>
    </row>
    <row r="63" spans="1:26" ht="29.4" thickBot="1" x14ac:dyDescent="0.35">
      <c r="A63" s="4" t="s">
        <v>205</v>
      </c>
      <c r="B63" s="6">
        <v>45498</v>
      </c>
      <c r="C63" s="4" t="s">
        <v>198</v>
      </c>
      <c r="D63" s="4" t="s">
        <v>199</v>
      </c>
      <c r="E63" s="4" t="s">
        <v>19</v>
      </c>
      <c r="F63" s="4" t="s">
        <v>20</v>
      </c>
      <c r="G63" s="4" t="s">
        <v>21</v>
      </c>
      <c r="H63" s="7">
        <v>4</v>
      </c>
      <c r="I63" s="7">
        <v>249.99</v>
      </c>
      <c r="J63" s="4" t="s">
        <v>59</v>
      </c>
      <c r="K63" s="4" t="s">
        <v>23</v>
      </c>
      <c r="L63" s="4" t="s">
        <v>38</v>
      </c>
      <c r="M63" s="6">
        <v>45127</v>
      </c>
      <c r="N63" s="7">
        <f t="shared" si="0"/>
        <v>999.96</v>
      </c>
      <c r="O63" s="4"/>
      <c r="P63" s="4"/>
      <c r="Q63" s="4">
        <f t="shared" si="1"/>
        <v>26</v>
      </c>
      <c r="R63" s="4"/>
      <c r="S63" s="4" t="str">
        <v>Gerald Murphy</v>
      </c>
      <c r="T63" s="4"/>
      <c r="U63" s="4"/>
      <c r="V63" s="4"/>
      <c r="W63" s="4"/>
      <c r="X63" s="4"/>
      <c r="Y63" s="4"/>
      <c r="Z63" s="4"/>
    </row>
    <row r="64" spans="1:26" ht="29.4" thickBot="1" x14ac:dyDescent="0.35">
      <c r="A64" s="4" t="s">
        <v>286</v>
      </c>
      <c r="B64" s="6">
        <v>45607</v>
      </c>
      <c r="C64" s="4" t="s">
        <v>101</v>
      </c>
      <c r="D64" s="4" t="s">
        <v>102</v>
      </c>
      <c r="E64" s="4" t="s">
        <v>19</v>
      </c>
      <c r="F64" s="4" t="s">
        <v>20</v>
      </c>
      <c r="G64" s="4" t="s">
        <v>21</v>
      </c>
      <c r="H64" s="7">
        <v>4</v>
      </c>
      <c r="I64" s="7">
        <v>249.99</v>
      </c>
      <c r="J64" s="4" t="s">
        <v>28</v>
      </c>
      <c r="K64" s="4" t="s">
        <v>52</v>
      </c>
      <c r="L64" s="4" t="s">
        <v>38</v>
      </c>
      <c r="M64" s="6">
        <v>44659</v>
      </c>
      <c r="N64" s="7">
        <f t="shared" si="0"/>
        <v>999.96</v>
      </c>
      <c r="O64" s="4"/>
      <c r="P64" s="4"/>
      <c r="Q64" s="4">
        <f t="shared" si="1"/>
        <v>26</v>
      </c>
      <c r="R64" s="4"/>
      <c r="S64" s="4" t="str">
        <v>Patricia Moore</v>
      </c>
      <c r="T64" s="4"/>
      <c r="U64" s="4"/>
      <c r="V64" s="4"/>
      <c r="W64" s="4"/>
      <c r="X64" s="4"/>
      <c r="Y64" s="4"/>
      <c r="Z64" s="4"/>
    </row>
    <row r="65" spans="1:26" ht="29.4" thickBot="1" x14ac:dyDescent="0.35">
      <c r="A65" s="4" t="s">
        <v>302</v>
      </c>
      <c r="B65" s="6">
        <v>45629</v>
      </c>
      <c r="C65" s="4" t="s">
        <v>254</v>
      </c>
      <c r="D65" s="4" t="s">
        <v>255</v>
      </c>
      <c r="E65" s="4" t="s">
        <v>19</v>
      </c>
      <c r="F65" s="4" t="s">
        <v>20</v>
      </c>
      <c r="G65" s="4" t="s">
        <v>21</v>
      </c>
      <c r="H65" s="7">
        <v>4</v>
      </c>
      <c r="I65" s="7">
        <v>249.99</v>
      </c>
      <c r="J65" s="4" t="s">
        <v>36</v>
      </c>
      <c r="K65" s="4" t="s">
        <v>65</v>
      </c>
      <c r="L65" s="4" t="s">
        <v>29</v>
      </c>
      <c r="M65" s="6">
        <v>45098</v>
      </c>
      <c r="N65" s="7">
        <f t="shared" ref="N65:N128" si="2">H65*I65</f>
        <v>999.96</v>
      </c>
      <c r="O65" s="4"/>
      <c r="P65" s="4"/>
      <c r="Q65" s="4">
        <f t="shared" si="1"/>
        <v>26</v>
      </c>
      <c r="R65" s="4"/>
      <c r="S65" s="4" t="str">
        <v>William White</v>
      </c>
      <c r="T65" s="4"/>
      <c r="U65" s="4"/>
      <c r="V65" s="4"/>
      <c r="W65" s="4"/>
      <c r="X65" s="4"/>
      <c r="Y65" s="4"/>
      <c r="Z65" s="4"/>
    </row>
    <row r="66" spans="1:26" ht="29.4" thickBot="1" x14ac:dyDescent="0.35">
      <c r="A66" s="4" t="s">
        <v>338</v>
      </c>
      <c r="B66" s="6">
        <v>45671</v>
      </c>
      <c r="C66" s="4" t="s">
        <v>160</v>
      </c>
      <c r="D66" s="4" t="s">
        <v>161</v>
      </c>
      <c r="E66" s="4" t="s">
        <v>19</v>
      </c>
      <c r="F66" s="4" t="s">
        <v>20</v>
      </c>
      <c r="G66" s="4" t="s">
        <v>21</v>
      </c>
      <c r="H66" s="7">
        <v>4</v>
      </c>
      <c r="I66" s="7">
        <v>249.99</v>
      </c>
      <c r="J66" s="4" t="s">
        <v>28</v>
      </c>
      <c r="K66" s="4" t="s">
        <v>42</v>
      </c>
      <c r="L66" s="4" t="s">
        <v>29</v>
      </c>
      <c r="M66" s="6">
        <v>44460</v>
      </c>
      <c r="N66" s="7">
        <f t="shared" si="2"/>
        <v>999.96</v>
      </c>
      <c r="O66" s="4"/>
      <c r="P66" s="4"/>
      <c r="Q66" s="4">
        <f t="shared" si="1"/>
        <v>26</v>
      </c>
      <c r="R66" s="4"/>
      <c r="S66" s="4" t="str">
        <v>Betty Campbell</v>
      </c>
      <c r="T66" s="4"/>
      <c r="U66" s="4"/>
      <c r="V66" s="4"/>
      <c r="W66" s="4"/>
      <c r="X66" s="4"/>
      <c r="Y66" s="4"/>
      <c r="Z66" s="4"/>
    </row>
    <row r="67" spans="1:26" ht="29.4" thickBot="1" x14ac:dyDescent="0.35">
      <c r="A67" s="4" t="s">
        <v>346</v>
      </c>
      <c r="B67" s="6">
        <v>45683</v>
      </c>
      <c r="C67" s="4" t="s">
        <v>50</v>
      </c>
      <c r="D67" s="4" t="s">
        <v>51</v>
      </c>
      <c r="E67" s="4" t="s">
        <v>19</v>
      </c>
      <c r="F67" s="4" t="s">
        <v>20</v>
      </c>
      <c r="G67" s="4" t="s">
        <v>21</v>
      </c>
      <c r="H67" s="7">
        <v>4</v>
      </c>
      <c r="I67" s="7">
        <v>249.99</v>
      </c>
      <c r="J67" s="4" t="s">
        <v>59</v>
      </c>
      <c r="K67" s="4" t="s">
        <v>23</v>
      </c>
      <c r="L67" s="4" t="s">
        <v>29</v>
      </c>
      <c r="M67" s="6">
        <v>45217</v>
      </c>
      <c r="N67" s="7">
        <f t="shared" si="2"/>
        <v>999.96</v>
      </c>
      <c r="O67" s="4"/>
      <c r="P67" s="4"/>
      <c r="Q67" s="4">
        <f t="shared" ref="Q67:Q130" si="3">COUNTIF(F:F,F67)</f>
        <v>26</v>
      </c>
      <c r="R67" s="4"/>
      <c r="S67" s="4" t="str">
        <v>Dorothy Nelson</v>
      </c>
      <c r="T67" s="4"/>
      <c r="U67" s="4"/>
      <c r="V67" s="4"/>
      <c r="W67" s="4"/>
      <c r="X67" s="4"/>
      <c r="Y67" s="4"/>
      <c r="Z67" s="4"/>
    </row>
    <row r="68" spans="1:26" ht="29.4" thickBot="1" x14ac:dyDescent="0.35">
      <c r="A68" s="4" t="s">
        <v>127</v>
      </c>
      <c r="B68" s="6">
        <v>45427</v>
      </c>
      <c r="C68" s="4" t="s">
        <v>57</v>
      </c>
      <c r="D68" s="4" t="s">
        <v>58</v>
      </c>
      <c r="E68" s="4" t="s">
        <v>128</v>
      </c>
      <c r="F68" s="4" t="s">
        <v>129</v>
      </c>
      <c r="G68" s="4" t="s">
        <v>48</v>
      </c>
      <c r="H68" s="7">
        <v>5</v>
      </c>
      <c r="I68" s="7">
        <v>199.99</v>
      </c>
      <c r="J68" s="4" t="s">
        <v>22</v>
      </c>
      <c r="K68" s="4" t="s">
        <v>37</v>
      </c>
      <c r="L68" s="4" t="s">
        <v>38</v>
      </c>
      <c r="M68" s="6">
        <v>44412</v>
      </c>
      <c r="N68" s="7">
        <f t="shared" si="2"/>
        <v>999.95</v>
      </c>
      <c r="O68" s="4"/>
      <c r="P68" s="4"/>
      <c r="Q68" s="4">
        <f t="shared" si="3"/>
        <v>15</v>
      </c>
      <c r="R68" s="4"/>
      <c r="S68" s="4" t="str">
        <v>Charles Allen</v>
      </c>
      <c r="T68" s="4"/>
      <c r="U68" s="4"/>
      <c r="V68" s="4"/>
      <c r="W68" s="4"/>
      <c r="X68" s="4"/>
      <c r="Y68" s="4"/>
      <c r="Z68" s="4"/>
    </row>
    <row r="69" spans="1:26" ht="29.4" thickBot="1" x14ac:dyDescent="0.35">
      <c r="A69" s="4" t="s">
        <v>222</v>
      </c>
      <c r="B69" s="6">
        <v>45519</v>
      </c>
      <c r="C69" s="4" t="s">
        <v>160</v>
      </c>
      <c r="D69" s="4" t="s">
        <v>161</v>
      </c>
      <c r="E69" s="4" t="s">
        <v>128</v>
      </c>
      <c r="F69" s="4" t="s">
        <v>129</v>
      </c>
      <c r="G69" s="4" t="s">
        <v>48</v>
      </c>
      <c r="H69" s="7">
        <v>5</v>
      </c>
      <c r="I69" s="7">
        <v>199.99</v>
      </c>
      <c r="J69" s="4" t="s">
        <v>22</v>
      </c>
      <c r="K69" s="4" t="s">
        <v>42</v>
      </c>
      <c r="L69" s="4" t="s">
        <v>29</v>
      </c>
      <c r="M69" s="6">
        <v>44991</v>
      </c>
      <c r="N69" s="7">
        <f t="shared" si="2"/>
        <v>999.95</v>
      </c>
      <c r="O69" s="4"/>
      <c r="P69" s="4"/>
      <c r="Q69" s="4">
        <f t="shared" si="3"/>
        <v>15</v>
      </c>
      <c r="R69" s="4"/>
      <c r="S69" s="4" t="str">
        <v>Betty Campbell</v>
      </c>
      <c r="T69" s="4"/>
      <c r="U69" s="4"/>
      <c r="V69" s="4"/>
      <c r="W69" s="4"/>
      <c r="X69" s="4"/>
      <c r="Y69" s="4"/>
      <c r="Z69" s="4"/>
    </row>
    <row r="70" spans="1:26" ht="29.4" thickBot="1" x14ac:dyDescent="0.35">
      <c r="A70" s="4" t="s">
        <v>332</v>
      </c>
      <c r="B70" s="6">
        <v>45667</v>
      </c>
      <c r="C70" s="4" t="s">
        <v>110</v>
      </c>
      <c r="D70" s="4" t="s">
        <v>111</v>
      </c>
      <c r="E70" s="4" t="s">
        <v>128</v>
      </c>
      <c r="F70" s="4" t="s">
        <v>129</v>
      </c>
      <c r="G70" s="4" t="s">
        <v>48</v>
      </c>
      <c r="H70" s="7">
        <v>5</v>
      </c>
      <c r="I70" s="7">
        <v>199.99</v>
      </c>
      <c r="J70" s="4" t="s">
        <v>36</v>
      </c>
      <c r="K70" s="4" t="s">
        <v>23</v>
      </c>
      <c r="L70" s="4" t="s">
        <v>38</v>
      </c>
      <c r="M70" s="6">
        <v>44633</v>
      </c>
      <c r="N70" s="7">
        <f t="shared" si="2"/>
        <v>999.95</v>
      </c>
      <c r="O70" s="4"/>
      <c r="P70" s="4"/>
      <c r="Q70" s="4">
        <f t="shared" si="3"/>
        <v>15</v>
      </c>
      <c r="R70" s="4"/>
      <c r="S70" s="4" t="str">
        <v>Nancy Collins</v>
      </c>
      <c r="T70" s="4"/>
      <c r="U70" s="4"/>
      <c r="V70" s="4"/>
      <c r="W70" s="4"/>
      <c r="X70" s="4"/>
      <c r="Y70" s="4"/>
      <c r="Z70" s="4"/>
    </row>
    <row r="71" spans="1:26" ht="29.4" thickBot="1" x14ac:dyDescent="0.35">
      <c r="A71" s="4" t="s">
        <v>84</v>
      </c>
      <c r="B71" s="6">
        <v>45409</v>
      </c>
      <c r="C71" s="4" t="s">
        <v>85</v>
      </c>
      <c r="D71" s="4" t="s">
        <v>86</v>
      </c>
      <c r="E71" s="4" t="s">
        <v>63</v>
      </c>
      <c r="F71" s="4" t="s">
        <v>64</v>
      </c>
      <c r="G71" s="4" t="s">
        <v>21</v>
      </c>
      <c r="H71" s="7">
        <v>1</v>
      </c>
      <c r="I71" s="7">
        <v>899.99</v>
      </c>
      <c r="J71" s="4" t="s">
        <v>59</v>
      </c>
      <c r="K71" s="4" t="s">
        <v>42</v>
      </c>
      <c r="L71" s="4" t="s">
        <v>38</v>
      </c>
      <c r="M71" s="6">
        <v>44920</v>
      </c>
      <c r="N71" s="7">
        <f t="shared" si="2"/>
        <v>899.99</v>
      </c>
      <c r="O71" s="4"/>
      <c r="P71" s="4"/>
      <c r="Q71" s="4">
        <f t="shared" si="3"/>
        <v>23</v>
      </c>
      <c r="R71" s="4"/>
      <c r="S71" s="4" t="str">
        <v>George Adams</v>
      </c>
      <c r="T71" s="4"/>
      <c r="U71" s="4"/>
      <c r="V71" s="4"/>
      <c r="W71" s="4"/>
      <c r="X71" s="4"/>
      <c r="Y71" s="4"/>
      <c r="Z71" s="4"/>
    </row>
    <row r="72" spans="1:26" ht="29.4" thickBot="1" x14ac:dyDescent="0.35">
      <c r="A72" s="4" t="s">
        <v>136</v>
      </c>
      <c r="B72" s="6">
        <v>45432</v>
      </c>
      <c r="C72" s="4" t="s">
        <v>31</v>
      </c>
      <c r="D72" s="4" t="s">
        <v>32</v>
      </c>
      <c r="E72" s="4" t="s">
        <v>63</v>
      </c>
      <c r="F72" s="4" t="s">
        <v>64</v>
      </c>
      <c r="G72" s="4" t="s">
        <v>21</v>
      </c>
      <c r="H72" s="7">
        <v>1</v>
      </c>
      <c r="I72" s="7">
        <v>899.99</v>
      </c>
      <c r="J72" s="4" t="s">
        <v>28</v>
      </c>
      <c r="K72" s="4" t="s">
        <v>52</v>
      </c>
      <c r="L72" s="4" t="s">
        <v>29</v>
      </c>
      <c r="M72" s="6">
        <v>44578</v>
      </c>
      <c r="N72" s="7">
        <f t="shared" si="2"/>
        <v>899.99</v>
      </c>
      <c r="O72" s="4"/>
      <c r="P72" s="4"/>
      <c r="Q72" s="4">
        <f t="shared" si="3"/>
        <v>23</v>
      </c>
      <c r="R72" s="4"/>
      <c r="S72" s="4" t="str">
        <v>Kevin Scott</v>
      </c>
      <c r="T72" s="4"/>
      <c r="U72" s="4"/>
      <c r="V72" s="4"/>
      <c r="W72" s="4"/>
      <c r="X72" s="4"/>
      <c r="Y72" s="4"/>
      <c r="Z72" s="4"/>
    </row>
    <row r="73" spans="1:26" ht="29.4" thickBot="1" x14ac:dyDescent="0.35">
      <c r="A73" s="4" t="s">
        <v>202</v>
      </c>
      <c r="B73" s="6">
        <v>45496</v>
      </c>
      <c r="C73" s="4" t="s">
        <v>152</v>
      </c>
      <c r="D73" s="4" t="s">
        <v>153</v>
      </c>
      <c r="E73" s="4" t="s">
        <v>63</v>
      </c>
      <c r="F73" s="4" t="s">
        <v>64</v>
      </c>
      <c r="G73" s="4" t="s">
        <v>21</v>
      </c>
      <c r="H73" s="7">
        <v>1</v>
      </c>
      <c r="I73" s="7">
        <v>899.99</v>
      </c>
      <c r="J73" s="4" t="s">
        <v>22</v>
      </c>
      <c r="K73" s="4" t="s">
        <v>23</v>
      </c>
      <c r="L73" s="4" t="s">
        <v>38</v>
      </c>
      <c r="M73" s="6">
        <v>45179</v>
      </c>
      <c r="N73" s="7">
        <f t="shared" si="2"/>
        <v>899.99</v>
      </c>
      <c r="O73" s="4"/>
      <c r="P73" s="4"/>
      <c r="Q73" s="4">
        <f t="shared" si="3"/>
        <v>23</v>
      </c>
      <c r="R73" s="4"/>
      <c r="S73" s="4" t="str">
        <v>Sharon Butler</v>
      </c>
      <c r="T73" s="4"/>
      <c r="U73" s="4"/>
      <c r="V73" s="4"/>
      <c r="W73" s="4"/>
      <c r="X73" s="4"/>
      <c r="Y73" s="4"/>
      <c r="Z73" s="4"/>
    </row>
    <row r="74" spans="1:26" ht="29.4" thickBot="1" x14ac:dyDescent="0.35">
      <c r="A74" s="4" t="s">
        <v>272</v>
      </c>
      <c r="B74" s="6">
        <v>45581</v>
      </c>
      <c r="C74" s="4" t="s">
        <v>152</v>
      </c>
      <c r="D74" s="4" t="s">
        <v>153</v>
      </c>
      <c r="E74" s="4" t="s">
        <v>63</v>
      </c>
      <c r="F74" s="4" t="s">
        <v>64</v>
      </c>
      <c r="G74" s="4" t="s">
        <v>21</v>
      </c>
      <c r="H74" s="7">
        <v>1</v>
      </c>
      <c r="I74" s="7">
        <v>899.99</v>
      </c>
      <c r="J74" s="4" t="s">
        <v>28</v>
      </c>
      <c r="K74" s="4" t="s">
        <v>65</v>
      </c>
      <c r="L74" s="4" t="s">
        <v>38</v>
      </c>
      <c r="M74" s="6">
        <v>45369</v>
      </c>
      <c r="N74" s="7">
        <f t="shared" si="2"/>
        <v>899.99</v>
      </c>
      <c r="O74" s="4"/>
      <c r="P74" s="4"/>
      <c r="Q74" s="4">
        <f t="shared" si="3"/>
        <v>23</v>
      </c>
      <c r="R74" s="4"/>
      <c r="S74" s="4" t="str">
        <v>Sharon Butler</v>
      </c>
      <c r="T74" s="4"/>
      <c r="U74" s="4"/>
      <c r="V74" s="4"/>
      <c r="W74" s="4"/>
      <c r="X74" s="4"/>
      <c r="Y74" s="4"/>
      <c r="Z74" s="4"/>
    </row>
    <row r="75" spans="1:26" ht="29.4" thickBot="1" x14ac:dyDescent="0.35">
      <c r="A75" s="4" t="s">
        <v>324</v>
      </c>
      <c r="B75" s="6">
        <v>45657</v>
      </c>
      <c r="C75" s="4" t="s">
        <v>88</v>
      </c>
      <c r="D75" s="4" t="s">
        <v>89</v>
      </c>
      <c r="E75" s="4" t="s">
        <v>63</v>
      </c>
      <c r="F75" s="4" t="s">
        <v>64</v>
      </c>
      <c r="G75" s="4" t="s">
        <v>21</v>
      </c>
      <c r="H75" s="7">
        <v>1</v>
      </c>
      <c r="I75" s="7">
        <v>899.99</v>
      </c>
      <c r="J75" s="4" t="s">
        <v>36</v>
      </c>
      <c r="K75" s="4" t="s">
        <v>42</v>
      </c>
      <c r="L75" s="4" t="s">
        <v>29</v>
      </c>
      <c r="M75" s="6">
        <v>45050</v>
      </c>
      <c r="N75" s="7">
        <f t="shared" si="2"/>
        <v>899.99</v>
      </c>
      <c r="O75" s="4"/>
      <c r="P75" s="4"/>
      <c r="Q75" s="4">
        <f t="shared" si="3"/>
        <v>23</v>
      </c>
      <c r="R75" s="4"/>
      <c r="S75" s="4" t="str">
        <v>Mark Carter</v>
      </c>
      <c r="T75" s="4"/>
      <c r="U75" s="4"/>
      <c r="V75" s="4"/>
      <c r="W75" s="4"/>
      <c r="X75" s="4"/>
      <c r="Y75" s="4"/>
      <c r="Z75" s="4"/>
    </row>
    <row r="76" spans="1:26" ht="29.4" thickBot="1" x14ac:dyDescent="0.35">
      <c r="A76" s="4" t="s">
        <v>326</v>
      </c>
      <c r="B76" s="6">
        <v>45661</v>
      </c>
      <c r="C76" s="4" t="s">
        <v>327</v>
      </c>
      <c r="D76" s="4" t="s">
        <v>328</v>
      </c>
      <c r="E76" s="4" t="s">
        <v>63</v>
      </c>
      <c r="F76" s="4" t="s">
        <v>64</v>
      </c>
      <c r="G76" s="4" t="s">
        <v>21</v>
      </c>
      <c r="H76" s="7">
        <v>1</v>
      </c>
      <c r="I76" s="7">
        <v>899.99</v>
      </c>
      <c r="J76" s="4" t="s">
        <v>36</v>
      </c>
      <c r="K76" s="4" t="s">
        <v>42</v>
      </c>
      <c r="L76" s="4" t="s">
        <v>38</v>
      </c>
      <c r="M76" s="6">
        <v>44752</v>
      </c>
      <c r="N76" s="7">
        <f t="shared" si="2"/>
        <v>899.99</v>
      </c>
      <c r="O76" s="4"/>
      <c r="P76" s="4"/>
      <c r="Q76" s="4">
        <f t="shared" si="3"/>
        <v>23</v>
      </c>
      <c r="R76" s="4"/>
      <c r="S76" s="4" t="str">
        <v>Arthur Edwards</v>
      </c>
      <c r="T76" s="4"/>
      <c r="U76" s="4"/>
      <c r="V76" s="4"/>
      <c r="W76" s="4"/>
      <c r="X76" s="4"/>
      <c r="Y76" s="4"/>
      <c r="Z76" s="4"/>
    </row>
    <row r="77" spans="1:26" ht="29.4" thickBot="1" x14ac:dyDescent="0.35">
      <c r="A77" s="4" t="s">
        <v>137</v>
      </c>
      <c r="B77" s="6">
        <v>45434</v>
      </c>
      <c r="C77" s="4" t="s">
        <v>101</v>
      </c>
      <c r="D77" s="4" t="s">
        <v>102</v>
      </c>
      <c r="E77" s="4" t="s">
        <v>107</v>
      </c>
      <c r="F77" s="4" t="s">
        <v>108</v>
      </c>
      <c r="G77" s="4" t="s">
        <v>48</v>
      </c>
      <c r="H77" s="7">
        <v>3</v>
      </c>
      <c r="I77" s="7">
        <v>299.99</v>
      </c>
      <c r="J77" s="4" t="s">
        <v>28</v>
      </c>
      <c r="K77" s="4" t="s">
        <v>65</v>
      </c>
      <c r="L77" s="4" t="s">
        <v>24</v>
      </c>
      <c r="M77" s="6">
        <v>44824</v>
      </c>
      <c r="N77" s="7">
        <f t="shared" si="2"/>
        <v>899.97</v>
      </c>
      <c r="O77" s="4"/>
      <c r="P77" s="4"/>
      <c r="Q77" s="4">
        <f t="shared" si="3"/>
        <v>26</v>
      </c>
      <c r="R77" s="4"/>
      <c r="S77" s="4" t="str">
        <v>Patricia Moore</v>
      </c>
      <c r="T77" s="4"/>
      <c r="U77" s="4"/>
      <c r="V77" s="4"/>
      <c r="W77" s="4"/>
      <c r="X77" s="4"/>
      <c r="Y77" s="4"/>
      <c r="Z77" s="4"/>
    </row>
    <row r="78" spans="1:26" ht="29.4" thickBot="1" x14ac:dyDescent="0.35">
      <c r="A78" s="4" t="s">
        <v>209</v>
      </c>
      <c r="B78" s="6">
        <v>45501</v>
      </c>
      <c r="C78" s="4" t="s">
        <v>149</v>
      </c>
      <c r="D78" s="4" t="s">
        <v>150</v>
      </c>
      <c r="E78" s="4" t="s">
        <v>107</v>
      </c>
      <c r="F78" s="4" t="s">
        <v>108</v>
      </c>
      <c r="G78" s="4" t="s">
        <v>48</v>
      </c>
      <c r="H78" s="7">
        <v>3</v>
      </c>
      <c r="I78" s="7">
        <v>299.99</v>
      </c>
      <c r="J78" s="4" t="s">
        <v>22</v>
      </c>
      <c r="K78" s="4" t="s">
        <v>23</v>
      </c>
      <c r="L78" s="4" t="s">
        <v>24</v>
      </c>
      <c r="M78" s="6">
        <v>44732</v>
      </c>
      <c r="N78" s="7">
        <f t="shared" si="2"/>
        <v>899.97</v>
      </c>
      <c r="O78" s="4"/>
      <c r="P78" s="4"/>
      <c r="Q78" s="4">
        <f t="shared" si="3"/>
        <v>26</v>
      </c>
      <c r="R78" s="4"/>
      <c r="S78" s="4" t="str">
        <v>Daniel King</v>
      </c>
      <c r="T78" s="4"/>
      <c r="U78" s="4"/>
      <c r="V78" s="4"/>
      <c r="W78" s="4"/>
      <c r="X78" s="4"/>
      <c r="Y78" s="4"/>
      <c r="Z78" s="4"/>
    </row>
    <row r="79" spans="1:26" ht="29.4" thickBot="1" x14ac:dyDescent="0.35">
      <c r="A79" s="4" t="s">
        <v>245</v>
      </c>
      <c r="B79" s="6">
        <v>45547</v>
      </c>
      <c r="C79" s="4" t="s">
        <v>50</v>
      </c>
      <c r="D79" s="4" t="s">
        <v>51</v>
      </c>
      <c r="E79" s="4" t="s">
        <v>107</v>
      </c>
      <c r="F79" s="4" t="s">
        <v>108</v>
      </c>
      <c r="G79" s="4" t="s">
        <v>48</v>
      </c>
      <c r="H79" s="7">
        <v>3</v>
      </c>
      <c r="I79" s="7">
        <v>299.99</v>
      </c>
      <c r="J79" s="4" t="s">
        <v>28</v>
      </c>
      <c r="K79" s="4" t="s">
        <v>23</v>
      </c>
      <c r="L79" s="4" t="s">
        <v>29</v>
      </c>
      <c r="M79" s="6">
        <v>44494</v>
      </c>
      <c r="N79" s="7">
        <f t="shared" si="2"/>
        <v>899.97</v>
      </c>
      <c r="O79" s="4"/>
      <c r="P79" s="4"/>
      <c r="Q79" s="4">
        <f t="shared" si="3"/>
        <v>26</v>
      </c>
      <c r="R79" s="4"/>
      <c r="S79" s="4" t="str">
        <v>Dorothy Nelson</v>
      </c>
      <c r="T79" s="4"/>
      <c r="U79" s="4"/>
      <c r="V79" s="4"/>
      <c r="W79" s="4"/>
      <c r="X79" s="4"/>
      <c r="Y79" s="4"/>
      <c r="Z79" s="4"/>
    </row>
    <row r="80" spans="1:26" ht="29.4" thickBot="1" x14ac:dyDescent="0.35">
      <c r="A80" s="4" t="s">
        <v>268</v>
      </c>
      <c r="B80" s="6">
        <v>45576</v>
      </c>
      <c r="C80" s="4" t="s">
        <v>149</v>
      </c>
      <c r="D80" s="4" t="s">
        <v>150</v>
      </c>
      <c r="E80" s="4" t="s">
        <v>107</v>
      </c>
      <c r="F80" s="4" t="s">
        <v>108</v>
      </c>
      <c r="G80" s="4" t="s">
        <v>48</v>
      </c>
      <c r="H80" s="7">
        <v>3</v>
      </c>
      <c r="I80" s="7">
        <v>299.99</v>
      </c>
      <c r="J80" s="4" t="s">
        <v>28</v>
      </c>
      <c r="K80" s="4" t="s">
        <v>23</v>
      </c>
      <c r="L80" s="4" t="s">
        <v>38</v>
      </c>
      <c r="M80" s="6">
        <v>45174</v>
      </c>
      <c r="N80" s="7">
        <f t="shared" si="2"/>
        <v>899.97</v>
      </c>
      <c r="O80" s="4"/>
      <c r="P80" s="4"/>
      <c r="Q80" s="4">
        <f t="shared" si="3"/>
        <v>26</v>
      </c>
      <c r="R80" s="4"/>
      <c r="S80" s="4" t="str">
        <v>Daniel King</v>
      </c>
      <c r="T80" s="4"/>
      <c r="U80" s="4"/>
      <c r="V80" s="4"/>
      <c r="W80" s="4"/>
      <c r="X80" s="4"/>
      <c r="Y80" s="4"/>
      <c r="Z80" s="4"/>
    </row>
    <row r="81" spans="1:26" ht="29.4" thickBot="1" x14ac:dyDescent="0.35">
      <c r="A81" s="4" t="s">
        <v>280</v>
      </c>
      <c r="B81" s="6">
        <v>45600</v>
      </c>
      <c r="C81" s="4" t="s">
        <v>67</v>
      </c>
      <c r="D81" s="4" t="s">
        <v>68</v>
      </c>
      <c r="E81" s="4" t="s">
        <v>107</v>
      </c>
      <c r="F81" s="4" t="s">
        <v>108</v>
      </c>
      <c r="G81" s="4" t="s">
        <v>48</v>
      </c>
      <c r="H81" s="7">
        <v>3</v>
      </c>
      <c r="I81" s="7">
        <v>299.99</v>
      </c>
      <c r="J81" s="4" t="s">
        <v>28</v>
      </c>
      <c r="K81" s="4" t="s">
        <v>37</v>
      </c>
      <c r="L81" s="4" t="s">
        <v>38</v>
      </c>
      <c r="M81" s="6">
        <v>44502</v>
      </c>
      <c r="N81" s="7">
        <f t="shared" si="2"/>
        <v>899.97</v>
      </c>
      <c r="O81" s="4"/>
      <c r="P81" s="4"/>
      <c r="Q81" s="4">
        <f t="shared" si="3"/>
        <v>26</v>
      </c>
      <c r="R81" s="4"/>
      <c r="S81" s="4" t="str">
        <v>Karen Hill</v>
      </c>
      <c r="T81" s="4"/>
      <c r="U81" s="4"/>
      <c r="V81" s="4"/>
      <c r="W81" s="4"/>
      <c r="X81" s="4"/>
      <c r="Y81" s="4"/>
      <c r="Z81" s="4"/>
    </row>
    <row r="82" spans="1:26" ht="29.4" thickBot="1" x14ac:dyDescent="0.35">
      <c r="A82" s="4" t="s">
        <v>298</v>
      </c>
      <c r="B82" s="6">
        <v>45627</v>
      </c>
      <c r="C82" s="4" t="s">
        <v>31</v>
      </c>
      <c r="D82" s="4" t="s">
        <v>32</v>
      </c>
      <c r="E82" s="4" t="s">
        <v>107</v>
      </c>
      <c r="F82" s="4" t="s">
        <v>108</v>
      </c>
      <c r="G82" s="4" t="s">
        <v>48</v>
      </c>
      <c r="H82" s="7">
        <v>3</v>
      </c>
      <c r="I82" s="7">
        <v>299.99</v>
      </c>
      <c r="J82" s="4" t="s">
        <v>22</v>
      </c>
      <c r="K82" s="4" t="s">
        <v>37</v>
      </c>
      <c r="L82" s="4" t="s">
        <v>29</v>
      </c>
      <c r="M82" s="6">
        <v>44659</v>
      </c>
      <c r="N82" s="7">
        <f t="shared" si="2"/>
        <v>899.97</v>
      </c>
      <c r="O82" s="4"/>
      <c r="P82" s="4"/>
      <c r="Q82" s="4">
        <f t="shared" si="3"/>
        <v>26</v>
      </c>
      <c r="R82" s="4"/>
      <c r="S82" s="4" t="str">
        <v>Kevin Scott</v>
      </c>
      <c r="T82" s="4"/>
      <c r="U82" s="4"/>
      <c r="V82" s="4"/>
      <c r="W82" s="4"/>
      <c r="X82" s="4"/>
      <c r="Y82" s="4"/>
      <c r="Z82" s="4"/>
    </row>
    <row r="83" spans="1:26" ht="29.4" thickBot="1" x14ac:dyDescent="0.35">
      <c r="A83" s="4" t="s">
        <v>330</v>
      </c>
      <c r="B83" s="6">
        <v>45663</v>
      </c>
      <c r="C83" s="4" t="s">
        <v>44</v>
      </c>
      <c r="D83" s="4" t="s">
        <v>45</v>
      </c>
      <c r="E83" s="4" t="s">
        <v>107</v>
      </c>
      <c r="F83" s="4" t="s">
        <v>108</v>
      </c>
      <c r="G83" s="4" t="s">
        <v>48</v>
      </c>
      <c r="H83" s="7">
        <v>3</v>
      </c>
      <c r="I83" s="7">
        <v>299.99</v>
      </c>
      <c r="J83" s="4" t="s">
        <v>22</v>
      </c>
      <c r="K83" s="4" t="s">
        <v>37</v>
      </c>
      <c r="L83" s="4" t="s">
        <v>38</v>
      </c>
      <c r="M83" s="6">
        <v>44422</v>
      </c>
      <c r="N83" s="7">
        <f t="shared" si="2"/>
        <v>899.97</v>
      </c>
      <c r="O83" s="4"/>
      <c r="P83" s="4"/>
      <c r="Q83" s="4">
        <f t="shared" si="3"/>
        <v>26</v>
      </c>
      <c r="R83" s="4"/>
      <c r="S83" s="4" t="str">
        <v>Michael Brown</v>
      </c>
      <c r="T83" s="4"/>
      <c r="U83" s="4"/>
      <c r="V83" s="4"/>
      <c r="W83" s="4"/>
      <c r="X83" s="4"/>
      <c r="Y83" s="4"/>
      <c r="Z83" s="4"/>
    </row>
    <row r="84" spans="1:26" ht="29.4" thickBot="1" x14ac:dyDescent="0.35">
      <c r="A84" s="4" t="s">
        <v>340</v>
      </c>
      <c r="B84" s="6">
        <v>45671</v>
      </c>
      <c r="C84" s="4" t="s">
        <v>236</v>
      </c>
      <c r="D84" s="4" t="s">
        <v>237</v>
      </c>
      <c r="E84" s="4" t="s">
        <v>107</v>
      </c>
      <c r="F84" s="4" t="s">
        <v>108</v>
      </c>
      <c r="G84" s="4" t="s">
        <v>48</v>
      </c>
      <c r="H84" s="7">
        <v>3</v>
      </c>
      <c r="I84" s="7">
        <v>299.99</v>
      </c>
      <c r="J84" s="4" t="s">
        <v>28</v>
      </c>
      <c r="K84" s="4" t="s">
        <v>37</v>
      </c>
      <c r="L84" s="4" t="s">
        <v>24</v>
      </c>
      <c r="M84" s="6">
        <v>45204</v>
      </c>
      <c r="N84" s="7">
        <f t="shared" si="2"/>
        <v>899.97</v>
      </c>
      <c r="O84" s="4"/>
      <c r="P84" s="4"/>
      <c r="Q84" s="4">
        <f t="shared" si="3"/>
        <v>26</v>
      </c>
      <c r="R84" s="4"/>
      <c r="S84" s="4" t="str">
        <v>Sandra Phillips</v>
      </c>
      <c r="T84" s="4"/>
      <c r="U84" s="4"/>
      <c r="V84" s="4"/>
      <c r="W84" s="4"/>
      <c r="X84" s="4"/>
      <c r="Y84" s="4"/>
      <c r="Z84" s="4"/>
    </row>
    <row r="85" spans="1:26" ht="29.4" thickBot="1" x14ac:dyDescent="0.35">
      <c r="A85" s="4" t="s">
        <v>348</v>
      </c>
      <c r="B85" s="6">
        <v>45686</v>
      </c>
      <c r="C85" s="4" t="s">
        <v>88</v>
      </c>
      <c r="D85" s="4" t="s">
        <v>89</v>
      </c>
      <c r="E85" s="4" t="s">
        <v>107</v>
      </c>
      <c r="F85" s="4" t="s">
        <v>108</v>
      </c>
      <c r="G85" s="4" t="s">
        <v>48</v>
      </c>
      <c r="H85" s="7">
        <v>3</v>
      </c>
      <c r="I85" s="7">
        <v>299.99</v>
      </c>
      <c r="J85" s="4" t="s">
        <v>59</v>
      </c>
      <c r="K85" s="4" t="s">
        <v>52</v>
      </c>
      <c r="L85" s="4" t="s">
        <v>38</v>
      </c>
      <c r="M85" s="6">
        <v>44952</v>
      </c>
      <c r="N85" s="7">
        <f t="shared" si="2"/>
        <v>899.97</v>
      </c>
      <c r="O85" s="4"/>
      <c r="P85" s="4"/>
      <c r="Q85" s="4">
        <f t="shared" si="3"/>
        <v>26</v>
      </c>
      <c r="R85" s="4"/>
      <c r="S85" s="4" t="str">
        <v>Mark Carter</v>
      </c>
      <c r="T85" s="4"/>
      <c r="U85" s="4"/>
      <c r="V85" s="4"/>
      <c r="W85" s="4"/>
      <c r="X85" s="4"/>
      <c r="Y85" s="4"/>
      <c r="Z85" s="4"/>
    </row>
    <row r="86" spans="1:26" ht="29.4" thickBot="1" x14ac:dyDescent="0.35">
      <c r="A86" s="4" t="s">
        <v>386</v>
      </c>
      <c r="B86" s="6">
        <v>45739</v>
      </c>
      <c r="C86" s="4" t="s">
        <v>17</v>
      </c>
      <c r="D86" s="4" t="s">
        <v>18</v>
      </c>
      <c r="E86" s="4" t="s">
        <v>107</v>
      </c>
      <c r="F86" s="4" t="s">
        <v>108</v>
      </c>
      <c r="G86" s="4" t="s">
        <v>48</v>
      </c>
      <c r="H86" s="7">
        <v>3</v>
      </c>
      <c r="I86" s="7">
        <v>299.99</v>
      </c>
      <c r="J86" s="4" t="s">
        <v>28</v>
      </c>
      <c r="K86" s="4" t="s">
        <v>52</v>
      </c>
      <c r="L86" s="4" t="s">
        <v>29</v>
      </c>
      <c r="M86" s="6">
        <v>45234</v>
      </c>
      <c r="N86" s="7">
        <f t="shared" si="2"/>
        <v>899.97</v>
      </c>
      <c r="O86" s="4"/>
      <c r="P86" s="4"/>
      <c r="Q86" s="4">
        <f t="shared" si="3"/>
        <v>26</v>
      </c>
      <c r="R86" s="4"/>
      <c r="S86" s="4" t="str">
        <v>Paul Baker</v>
      </c>
      <c r="T86" s="4"/>
      <c r="U86" s="4"/>
      <c r="V86" s="4"/>
      <c r="W86" s="4"/>
      <c r="X86" s="4"/>
      <c r="Y86" s="4"/>
      <c r="Z86" s="4"/>
    </row>
    <row r="87" spans="1:26" ht="29.4" thickBot="1" x14ac:dyDescent="0.35">
      <c r="A87" s="4" t="s">
        <v>221</v>
      </c>
      <c r="B87" s="6">
        <v>45517</v>
      </c>
      <c r="C87" s="4" t="s">
        <v>40</v>
      </c>
      <c r="D87" s="4" t="s">
        <v>41</v>
      </c>
      <c r="E87" s="4" t="s">
        <v>128</v>
      </c>
      <c r="F87" s="4" t="s">
        <v>129</v>
      </c>
      <c r="G87" s="4" t="s">
        <v>48</v>
      </c>
      <c r="H87" s="7">
        <v>4</v>
      </c>
      <c r="I87" s="7">
        <v>199.99</v>
      </c>
      <c r="J87" s="4" t="s">
        <v>22</v>
      </c>
      <c r="K87" s="4" t="s">
        <v>42</v>
      </c>
      <c r="L87" s="4" t="s">
        <v>38</v>
      </c>
      <c r="M87" s="6">
        <v>44458</v>
      </c>
      <c r="N87" s="7">
        <f t="shared" si="2"/>
        <v>799.96</v>
      </c>
      <c r="O87" s="4"/>
      <c r="P87" s="4"/>
      <c r="Q87" s="4">
        <f t="shared" si="3"/>
        <v>15</v>
      </c>
      <c r="R87" s="4"/>
      <c r="S87" s="4" t="str">
        <v>Kathleen Bennett</v>
      </c>
      <c r="T87" s="4"/>
      <c r="U87" s="4"/>
      <c r="V87" s="4"/>
      <c r="W87" s="4"/>
      <c r="X87" s="4"/>
      <c r="Y87" s="4"/>
      <c r="Z87" s="4"/>
    </row>
    <row r="88" spans="1:26" ht="29.4" thickBot="1" x14ac:dyDescent="0.35">
      <c r="A88" s="4" t="s">
        <v>251</v>
      </c>
      <c r="B88" s="6">
        <v>45551</v>
      </c>
      <c r="C88" s="4" t="s">
        <v>156</v>
      </c>
      <c r="D88" s="4" t="s">
        <v>157</v>
      </c>
      <c r="E88" s="4" t="s">
        <v>128</v>
      </c>
      <c r="F88" s="4" t="s">
        <v>129</v>
      </c>
      <c r="G88" s="4" t="s">
        <v>48</v>
      </c>
      <c r="H88" s="7">
        <v>4</v>
      </c>
      <c r="I88" s="7">
        <v>199.99</v>
      </c>
      <c r="J88" s="4" t="s">
        <v>59</v>
      </c>
      <c r="K88" s="4" t="s">
        <v>65</v>
      </c>
      <c r="L88" s="4" t="s">
        <v>24</v>
      </c>
      <c r="M88" s="6">
        <v>44458</v>
      </c>
      <c r="N88" s="7">
        <f t="shared" si="2"/>
        <v>799.96</v>
      </c>
      <c r="O88" s="4"/>
      <c r="P88" s="4"/>
      <c r="Q88" s="4">
        <f t="shared" si="3"/>
        <v>15</v>
      </c>
      <c r="R88" s="4"/>
      <c r="S88" s="4" t="str">
        <v>Sarah Davis</v>
      </c>
      <c r="T88" s="4"/>
      <c r="U88" s="4"/>
      <c r="V88" s="4"/>
      <c r="W88" s="4"/>
      <c r="X88" s="4"/>
      <c r="Y88" s="4"/>
      <c r="Z88" s="4"/>
    </row>
    <row r="89" spans="1:26" ht="29.4" thickBot="1" x14ac:dyDescent="0.35">
      <c r="A89" s="4" t="s">
        <v>291</v>
      </c>
      <c r="B89" s="6">
        <v>45617</v>
      </c>
      <c r="C89" s="4" t="s">
        <v>125</v>
      </c>
      <c r="D89" s="4" t="s">
        <v>126</v>
      </c>
      <c r="E89" s="4" t="s">
        <v>128</v>
      </c>
      <c r="F89" s="4" t="s">
        <v>129</v>
      </c>
      <c r="G89" s="4" t="s">
        <v>48</v>
      </c>
      <c r="H89" s="7">
        <v>4</v>
      </c>
      <c r="I89" s="7">
        <v>199.99</v>
      </c>
      <c r="J89" s="4" t="s">
        <v>59</v>
      </c>
      <c r="K89" s="4" t="s">
        <v>23</v>
      </c>
      <c r="L89" s="4" t="s">
        <v>29</v>
      </c>
      <c r="M89" s="6">
        <v>44427</v>
      </c>
      <c r="N89" s="7">
        <f t="shared" si="2"/>
        <v>799.96</v>
      </c>
      <c r="O89" s="4"/>
      <c r="P89" s="4"/>
      <c r="Q89" s="4">
        <f t="shared" si="3"/>
        <v>15</v>
      </c>
      <c r="R89" s="4"/>
      <c r="S89" s="4" t="str">
        <v>Edward Mitchell</v>
      </c>
      <c r="T89" s="4"/>
      <c r="U89" s="4"/>
      <c r="V89" s="4"/>
      <c r="W89" s="4"/>
      <c r="X89" s="4"/>
      <c r="Y89" s="4"/>
      <c r="Z89" s="4"/>
    </row>
    <row r="90" spans="1:26" ht="29.4" thickBot="1" x14ac:dyDescent="0.35">
      <c r="A90" s="4" t="s">
        <v>321</v>
      </c>
      <c r="B90" s="6">
        <v>45654</v>
      </c>
      <c r="C90" s="4" t="s">
        <v>122</v>
      </c>
      <c r="D90" s="4" t="s">
        <v>123</v>
      </c>
      <c r="E90" s="4" t="s">
        <v>128</v>
      </c>
      <c r="F90" s="4" t="s">
        <v>129</v>
      </c>
      <c r="G90" s="4" t="s">
        <v>48</v>
      </c>
      <c r="H90" s="7">
        <v>4</v>
      </c>
      <c r="I90" s="7">
        <v>199.99</v>
      </c>
      <c r="J90" s="4" t="s">
        <v>28</v>
      </c>
      <c r="K90" s="4" t="s">
        <v>23</v>
      </c>
      <c r="L90" s="4" t="s">
        <v>24</v>
      </c>
      <c r="M90" s="6">
        <v>44523</v>
      </c>
      <c r="N90" s="7">
        <f t="shared" si="2"/>
        <v>799.96</v>
      </c>
      <c r="O90" s="4"/>
      <c r="P90" s="4"/>
      <c r="Q90" s="4">
        <f t="shared" si="3"/>
        <v>15</v>
      </c>
      <c r="R90" s="4"/>
      <c r="S90" s="4" t="str">
        <v>Helen Roberts</v>
      </c>
      <c r="T90" s="4"/>
      <c r="U90" s="4"/>
      <c r="V90" s="4"/>
      <c r="W90" s="4"/>
      <c r="X90" s="4"/>
      <c r="Y90" s="4"/>
      <c r="Z90" s="4"/>
    </row>
    <row r="91" spans="1:26" ht="29.4" thickBot="1" x14ac:dyDescent="0.35">
      <c r="A91" s="4" t="s">
        <v>341</v>
      </c>
      <c r="B91" s="6">
        <v>45673</v>
      </c>
      <c r="C91" s="4" t="s">
        <v>228</v>
      </c>
      <c r="D91" s="4" t="s">
        <v>229</v>
      </c>
      <c r="E91" s="4" t="s">
        <v>128</v>
      </c>
      <c r="F91" s="4" t="s">
        <v>129</v>
      </c>
      <c r="G91" s="4" t="s">
        <v>48</v>
      </c>
      <c r="H91" s="7">
        <v>4</v>
      </c>
      <c r="I91" s="7">
        <v>199.99</v>
      </c>
      <c r="J91" s="4" t="s">
        <v>59</v>
      </c>
      <c r="K91" s="4" t="s">
        <v>37</v>
      </c>
      <c r="L91" s="4" t="s">
        <v>38</v>
      </c>
      <c r="M91" s="6">
        <v>44544</v>
      </c>
      <c r="N91" s="7">
        <f t="shared" si="2"/>
        <v>799.96</v>
      </c>
      <c r="O91" s="4"/>
      <c r="P91" s="4"/>
      <c r="Q91" s="4">
        <f t="shared" si="3"/>
        <v>15</v>
      </c>
      <c r="R91" s="4"/>
      <c r="S91" s="4" t="str">
        <v>Lawrence Reed</v>
      </c>
      <c r="T91" s="4"/>
      <c r="U91" s="4"/>
      <c r="V91" s="4"/>
      <c r="W91" s="4"/>
      <c r="X91" s="4"/>
      <c r="Y91" s="4"/>
      <c r="Z91" s="4"/>
    </row>
    <row r="92" spans="1:26" ht="29.4" thickBot="1" x14ac:dyDescent="0.35">
      <c r="A92" s="4" t="s">
        <v>16</v>
      </c>
      <c r="B92" s="6">
        <v>45393</v>
      </c>
      <c r="C92" s="4" t="s">
        <v>17</v>
      </c>
      <c r="D92" s="4" t="s">
        <v>18</v>
      </c>
      <c r="E92" s="4" t="s">
        <v>19</v>
      </c>
      <c r="F92" s="4" t="s">
        <v>20</v>
      </c>
      <c r="G92" s="4" t="s">
        <v>21</v>
      </c>
      <c r="H92" s="7">
        <v>3</v>
      </c>
      <c r="I92" s="7">
        <v>249.99</v>
      </c>
      <c r="J92" s="4" t="s">
        <v>22</v>
      </c>
      <c r="K92" s="4" t="s">
        <v>23</v>
      </c>
      <c r="L92" s="4" t="s">
        <v>24</v>
      </c>
      <c r="M92" s="6">
        <v>44425</v>
      </c>
      <c r="N92" s="7">
        <f t="shared" si="2"/>
        <v>749.97</v>
      </c>
      <c r="O92" s="4"/>
      <c r="P92" s="4"/>
      <c r="Q92" s="4">
        <f t="shared" si="3"/>
        <v>26</v>
      </c>
      <c r="R92" s="4"/>
      <c r="S92" s="4" t="str">
        <v>Paul Baker</v>
      </c>
      <c r="T92" s="4"/>
      <c r="U92" s="4"/>
      <c r="V92" s="4"/>
      <c r="W92" s="4"/>
      <c r="X92" s="4"/>
      <c r="Y92" s="4"/>
      <c r="Z92" s="4"/>
    </row>
    <row r="93" spans="1:26" ht="29.4" thickBot="1" x14ac:dyDescent="0.35">
      <c r="A93" s="4" t="s">
        <v>25</v>
      </c>
      <c r="B93" s="6">
        <v>45396</v>
      </c>
      <c r="C93" s="4" t="s">
        <v>26</v>
      </c>
      <c r="D93" s="4" t="s">
        <v>27</v>
      </c>
      <c r="E93" s="4" t="s">
        <v>19</v>
      </c>
      <c r="F93" s="4" t="s">
        <v>20</v>
      </c>
      <c r="G93" s="4" t="s">
        <v>21</v>
      </c>
      <c r="H93" s="7">
        <v>3</v>
      </c>
      <c r="I93" s="7">
        <v>249.99</v>
      </c>
      <c r="J93" s="4" t="s">
        <v>28</v>
      </c>
      <c r="K93" s="4" t="s">
        <v>23</v>
      </c>
      <c r="L93" s="4" t="s">
        <v>29</v>
      </c>
      <c r="M93" s="6">
        <v>44575</v>
      </c>
      <c r="N93" s="7">
        <f t="shared" si="2"/>
        <v>749.97</v>
      </c>
      <c r="O93" s="4"/>
      <c r="P93" s="4"/>
      <c r="Q93" s="4">
        <f t="shared" si="3"/>
        <v>26</v>
      </c>
      <c r="R93" s="4"/>
      <c r="S93" s="4" t="str">
        <v>Joseph Jackson</v>
      </c>
      <c r="T93" s="4"/>
      <c r="U93" s="4"/>
      <c r="V93" s="4"/>
      <c r="W93" s="4"/>
      <c r="X93" s="4"/>
      <c r="Y93" s="4"/>
      <c r="Z93" s="4"/>
    </row>
    <row r="94" spans="1:26" ht="29.4" thickBot="1" x14ac:dyDescent="0.35">
      <c r="A94" s="4" t="s">
        <v>94</v>
      </c>
      <c r="B94" s="6">
        <v>45410</v>
      </c>
      <c r="C94" s="4" t="s">
        <v>95</v>
      </c>
      <c r="D94" s="4" t="s">
        <v>96</v>
      </c>
      <c r="E94" s="4" t="s">
        <v>19</v>
      </c>
      <c r="F94" s="4" t="s">
        <v>20</v>
      </c>
      <c r="G94" s="4" t="s">
        <v>21</v>
      </c>
      <c r="H94" s="7">
        <v>3</v>
      </c>
      <c r="I94" s="7">
        <v>249.99</v>
      </c>
      <c r="J94" s="4" t="s">
        <v>28</v>
      </c>
      <c r="K94" s="4" t="s">
        <v>42</v>
      </c>
      <c r="L94" s="4" t="s">
        <v>29</v>
      </c>
      <c r="M94" s="6">
        <v>45224</v>
      </c>
      <c r="N94" s="7">
        <f t="shared" si="2"/>
        <v>749.97</v>
      </c>
      <c r="O94" s="4"/>
      <c r="P94" s="4"/>
      <c r="Q94" s="4">
        <f t="shared" si="3"/>
        <v>26</v>
      </c>
      <c r="R94" s="4"/>
      <c r="S94" s="4" t="str">
        <v>Virginia Sanders</v>
      </c>
      <c r="T94" s="4"/>
      <c r="U94" s="4"/>
      <c r="V94" s="4"/>
      <c r="W94" s="4"/>
      <c r="X94" s="4"/>
      <c r="Y94" s="4"/>
      <c r="Z94" s="4"/>
    </row>
    <row r="95" spans="1:26" ht="29.4" thickBot="1" x14ac:dyDescent="0.35">
      <c r="A95" s="4" t="s">
        <v>220</v>
      </c>
      <c r="B95" s="6">
        <v>45517</v>
      </c>
      <c r="C95" s="4" t="s">
        <v>67</v>
      </c>
      <c r="D95" s="4" t="s">
        <v>68</v>
      </c>
      <c r="E95" s="4" t="s">
        <v>19</v>
      </c>
      <c r="F95" s="4" t="s">
        <v>20</v>
      </c>
      <c r="G95" s="4" t="s">
        <v>21</v>
      </c>
      <c r="H95" s="7">
        <v>3</v>
      </c>
      <c r="I95" s="7">
        <v>249.99</v>
      </c>
      <c r="J95" s="4" t="s">
        <v>36</v>
      </c>
      <c r="K95" s="4" t="s">
        <v>42</v>
      </c>
      <c r="L95" s="4" t="s">
        <v>29</v>
      </c>
      <c r="M95" s="6">
        <v>44465</v>
      </c>
      <c r="N95" s="7">
        <f t="shared" si="2"/>
        <v>749.97</v>
      </c>
      <c r="O95" s="4"/>
      <c r="P95" s="4"/>
      <c r="Q95" s="4">
        <f t="shared" si="3"/>
        <v>26</v>
      </c>
      <c r="R95" s="4"/>
      <c r="S95" s="4" t="str">
        <v>Karen Hill</v>
      </c>
      <c r="T95" s="4"/>
      <c r="U95" s="4"/>
      <c r="V95" s="4"/>
      <c r="W95" s="4"/>
      <c r="X95" s="4"/>
      <c r="Y95" s="4"/>
      <c r="Z95" s="4"/>
    </row>
    <row r="96" spans="1:26" ht="29.4" thickBot="1" x14ac:dyDescent="0.35">
      <c r="A96" s="4" t="s">
        <v>43</v>
      </c>
      <c r="B96" s="6">
        <v>45400</v>
      </c>
      <c r="C96" s="4" t="s">
        <v>44</v>
      </c>
      <c r="D96" s="4" t="s">
        <v>45</v>
      </c>
      <c r="E96" s="4" t="s">
        <v>46</v>
      </c>
      <c r="F96" s="4" t="s">
        <v>47</v>
      </c>
      <c r="G96" s="4" t="s">
        <v>48</v>
      </c>
      <c r="H96" s="7">
        <v>5</v>
      </c>
      <c r="I96" s="7">
        <v>149.99</v>
      </c>
      <c r="J96" s="4" t="s">
        <v>28</v>
      </c>
      <c r="K96" s="4" t="s">
        <v>42</v>
      </c>
      <c r="L96" s="4" t="s">
        <v>29</v>
      </c>
      <c r="M96" s="6">
        <v>45295</v>
      </c>
      <c r="N96" s="7">
        <f t="shared" si="2"/>
        <v>749.95</v>
      </c>
      <c r="O96" s="4"/>
      <c r="P96" s="4"/>
      <c r="Q96" s="4">
        <f t="shared" si="3"/>
        <v>35</v>
      </c>
      <c r="R96" s="4"/>
      <c r="S96" s="4" t="str">
        <v>Michael Brown</v>
      </c>
      <c r="T96" s="4"/>
      <c r="U96" s="4"/>
      <c r="V96" s="4"/>
      <c r="W96" s="4"/>
      <c r="X96" s="4"/>
      <c r="Y96" s="4"/>
      <c r="Z96" s="4"/>
    </row>
    <row r="97" spans="1:26" ht="29.4" thickBot="1" x14ac:dyDescent="0.35">
      <c r="A97" s="4" t="s">
        <v>53</v>
      </c>
      <c r="B97" s="6">
        <v>45403</v>
      </c>
      <c r="C97" s="4" t="s">
        <v>50</v>
      </c>
      <c r="D97" s="4" t="s">
        <v>51</v>
      </c>
      <c r="E97" s="4" t="s">
        <v>54</v>
      </c>
      <c r="F97" s="4" t="s">
        <v>55</v>
      </c>
      <c r="G97" s="4" t="s">
        <v>21</v>
      </c>
      <c r="H97" s="7">
        <v>5</v>
      </c>
      <c r="I97" s="7">
        <v>149.99</v>
      </c>
      <c r="J97" s="4" t="s">
        <v>28</v>
      </c>
      <c r="K97" s="4" t="s">
        <v>23</v>
      </c>
      <c r="L97" s="4" t="s">
        <v>38</v>
      </c>
      <c r="M97" s="6">
        <v>44418</v>
      </c>
      <c r="N97" s="7">
        <f t="shared" si="2"/>
        <v>749.95</v>
      </c>
      <c r="O97" s="4"/>
      <c r="P97" s="4"/>
      <c r="Q97" s="4">
        <f t="shared" si="3"/>
        <v>16</v>
      </c>
      <c r="R97" s="4"/>
      <c r="S97" s="4" t="str">
        <v>Dorothy Nelson</v>
      </c>
      <c r="T97" s="4"/>
      <c r="U97" s="4"/>
      <c r="V97" s="4"/>
      <c r="W97" s="4"/>
      <c r="X97" s="4"/>
      <c r="Y97" s="4"/>
      <c r="Z97" s="4"/>
    </row>
    <row r="98" spans="1:26" ht="29.4" thickBot="1" x14ac:dyDescent="0.35">
      <c r="A98" s="4" t="s">
        <v>72</v>
      </c>
      <c r="B98" s="6">
        <v>45408</v>
      </c>
      <c r="C98" s="4" t="s">
        <v>40</v>
      </c>
      <c r="D98" s="4" t="s">
        <v>41</v>
      </c>
      <c r="E98" s="4" t="s">
        <v>46</v>
      </c>
      <c r="F98" s="4" t="s">
        <v>47</v>
      </c>
      <c r="G98" s="4" t="s">
        <v>48</v>
      </c>
      <c r="H98" s="7">
        <v>5</v>
      </c>
      <c r="I98" s="7">
        <v>149.99</v>
      </c>
      <c r="J98" s="4" t="s">
        <v>59</v>
      </c>
      <c r="K98" s="4" t="s">
        <v>42</v>
      </c>
      <c r="L98" s="4" t="s">
        <v>24</v>
      </c>
      <c r="M98" s="6">
        <v>44830</v>
      </c>
      <c r="N98" s="7">
        <f t="shared" si="2"/>
        <v>749.95</v>
      </c>
      <c r="O98" s="4"/>
      <c r="P98" s="4"/>
      <c r="Q98" s="4">
        <f t="shared" si="3"/>
        <v>35</v>
      </c>
      <c r="R98" s="4"/>
      <c r="S98" s="4" t="str">
        <v>Kathleen Bennett</v>
      </c>
      <c r="T98" s="4"/>
      <c r="U98" s="4"/>
      <c r="V98" s="4"/>
      <c r="W98" s="4"/>
      <c r="X98" s="4"/>
      <c r="Y98" s="4"/>
      <c r="Z98" s="4"/>
    </row>
    <row r="99" spans="1:26" ht="29.4" thickBot="1" x14ac:dyDescent="0.35">
      <c r="A99" s="4" t="s">
        <v>226</v>
      </c>
      <c r="B99" s="6">
        <v>45526</v>
      </c>
      <c r="C99" s="4" t="s">
        <v>104</v>
      </c>
      <c r="D99" s="4" t="s">
        <v>105</v>
      </c>
      <c r="E99" s="4" t="s">
        <v>46</v>
      </c>
      <c r="F99" s="4" t="s">
        <v>47</v>
      </c>
      <c r="G99" s="4" t="s">
        <v>48</v>
      </c>
      <c r="H99" s="7">
        <v>5</v>
      </c>
      <c r="I99" s="7">
        <v>149.99</v>
      </c>
      <c r="J99" s="4" t="s">
        <v>28</v>
      </c>
      <c r="K99" s="4" t="s">
        <v>23</v>
      </c>
      <c r="L99" s="4" t="s">
        <v>24</v>
      </c>
      <c r="M99" s="6">
        <v>45310</v>
      </c>
      <c r="N99" s="7">
        <f t="shared" si="2"/>
        <v>749.95</v>
      </c>
      <c r="O99" s="4"/>
      <c r="P99" s="4"/>
      <c r="Q99" s="4">
        <f t="shared" si="3"/>
        <v>35</v>
      </c>
      <c r="R99" s="4"/>
      <c r="S99" s="4" t="str">
        <v>Cynthia Price</v>
      </c>
      <c r="T99" s="4"/>
      <c r="U99" s="4"/>
      <c r="V99" s="4"/>
      <c r="W99" s="4"/>
      <c r="X99" s="4"/>
      <c r="Y99" s="4"/>
      <c r="Z99" s="4"/>
    </row>
    <row r="100" spans="1:26" ht="29.4" thickBot="1" x14ac:dyDescent="0.35">
      <c r="A100" s="4" t="s">
        <v>287</v>
      </c>
      <c r="B100" s="6">
        <v>45608</v>
      </c>
      <c r="C100" s="4" t="s">
        <v>156</v>
      </c>
      <c r="D100" s="4" t="s">
        <v>157</v>
      </c>
      <c r="E100" s="4" t="s">
        <v>46</v>
      </c>
      <c r="F100" s="4" t="s">
        <v>47</v>
      </c>
      <c r="G100" s="4" t="s">
        <v>48</v>
      </c>
      <c r="H100" s="7">
        <v>5</v>
      </c>
      <c r="I100" s="7">
        <v>149.99</v>
      </c>
      <c r="J100" s="4" t="s">
        <v>36</v>
      </c>
      <c r="K100" s="4" t="s">
        <v>23</v>
      </c>
      <c r="L100" s="4" t="s">
        <v>24</v>
      </c>
      <c r="M100" s="6">
        <v>44901</v>
      </c>
      <c r="N100" s="7">
        <f t="shared" si="2"/>
        <v>749.95</v>
      </c>
      <c r="O100" s="4"/>
      <c r="P100" s="4"/>
      <c r="Q100" s="4">
        <f t="shared" si="3"/>
        <v>35</v>
      </c>
      <c r="R100" s="4"/>
      <c r="S100" s="4" t="str">
        <v>Sarah Davis</v>
      </c>
      <c r="T100" s="4"/>
      <c r="U100" s="4"/>
      <c r="V100" s="4"/>
      <c r="W100" s="4"/>
      <c r="X100" s="4"/>
      <c r="Y100" s="4"/>
      <c r="Z100" s="4"/>
    </row>
    <row r="101" spans="1:26" ht="29.4" thickBot="1" x14ac:dyDescent="0.35">
      <c r="A101" s="4" t="s">
        <v>289</v>
      </c>
      <c r="B101" s="6">
        <v>45613</v>
      </c>
      <c r="C101" s="4" t="s">
        <v>236</v>
      </c>
      <c r="D101" s="4" t="s">
        <v>237</v>
      </c>
      <c r="E101" s="4" t="s">
        <v>46</v>
      </c>
      <c r="F101" s="4" t="s">
        <v>47</v>
      </c>
      <c r="G101" s="4" t="s">
        <v>48</v>
      </c>
      <c r="H101" s="7">
        <v>5</v>
      </c>
      <c r="I101" s="7">
        <v>149.99</v>
      </c>
      <c r="J101" s="4" t="s">
        <v>22</v>
      </c>
      <c r="K101" s="4" t="s">
        <v>42</v>
      </c>
      <c r="L101" s="4" t="s">
        <v>24</v>
      </c>
      <c r="M101" s="6">
        <v>44869</v>
      </c>
      <c r="N101" s="7">
        <f t="shared" si="2"/>
        <v>749.95</v>
      </c>
      <c r="O101" s="4"/>
      <c r="P101" s="4"/>
      <c r="Q101" s="4">
        <f t="shared" si="3"/>
        <v>35</v>
      </c>
      <c r="R101" s="4"/>
      <c r="S101" s="4" t="str">
        <v>Sandra Phillips</v>
      </c>
      <c r="T101" s="4"/>
      <c r="U101" s="4"/>
      <c r="V101" s="4"/>
      <c r="W101" s="4"/>
      <c r="X101" s="4"/>
      <c r="Y101" s="4"/>
      <c r="Z101" s="4"/>
    </row>
    <row r="102" spans="1:26" ht="29.4" thickBot="1" x14ac:dyDescent="0.35">
      <c r="A102" s="4" t="s">
        <v>323</v>
      </c>
      <c r="B102" s="6">
        <v>45655</v>
      </c>
      <c r="C102" s="4" t="s">
        <v>110</v>
      </c>
      <c r="D102" s="4" t="s">
        <v>111</v>
      </c>
      <c r="E102" s="4" t="s">
        <v>46</v>
      </c>
      <c r="F102" s="4" t="s">
        <v>47</v>
      </c>
      <c r="G102" s="4" t="s">
        <v>48</v>
      </c>
      <c r="H102" s="7">
        <v>5</v>
      </c>
      <c r="I102" s="7">
        <v>149.99</v>
      </c>
      <c r="J102" s="4" t="s">
        <v>22</v>
      </c>
      <c r="K102" s="4" t="s">
        <v>23</v>
      </c>
      <c r="L102" s="4" t="s">
        <v>29</v>
      </c>
      <c r="M102" s="6">
        <v>45347</v>
      </c>
      <c r="N102" s="7">
        <f t="shared" si="2"/>
        <v>749.95</v>
      </c>
      <c r="O102" s="4"/>
      <c r="P102" s="4"/>
      <c r="Q102" s="4">
        <f t="shared" si="3"/>
        <v>35</v>
      </c>
      <c r="R102" s="4"/>
      <c r="S102" s="4" t="str">
        <v>Nancy Collins</v>
      </c>
      <c r="T102" s="4"/>
      <c r="U102" s="4"/>
      <c r="V102" s="4"/>
      <c r="W102" s="4"/>
      <c r="X102" s="4"/>
      <c r="Y102" s="4"/>
      <c r="Z102" s="4"/>
    </row>
    <row r="103" spans="1:26" ht="29.4" thickBot="1" x14ac:dyDescent="0.35">
      <c r="A103" s="4" t="s">
        <v>329</v>
      </c>
      <c r="B103" s="6">
        <v>45663</v>
      </c>
      <c r="C103" s="4" t="s">
        <v>131</v>
      </c>
      <c r="D103" s="4" t="s">
        <v>132</v>
      </c>
      <c r="E103" s="4" t="s">
        <v>54</v>
      </c>
      <c r="F103" s="4" t="s">
        <v>55</v>
      </c>
      <c r="G103" s="4" t="s">
        <v>21</v>
      </c>
      <c r="H103" s="7">
        <v>5</v>
      </c>
      <c r="I103" s="7">
        <v>149.99</v>
      </c>
      <c r="J103" s="4" t="s">
        <v>36</v>
      </c>
      <c r="K103" s="4" t="s">
        <v>65</v>
      </c>
      <c r="L103" s="4" t="s">
        <v>29</v>
      </c>
      <c r="M103" s="6">
        <v>44824</v>
      </c>
      <c r="N103" s="7">
        <f t="shared" si="2"/>
        <v>749.95</v>
      </c>
      <c r="O103" s="4"/>
      <c r="P103" s="4"/>
      <c r="Q103" s="4">
        <f t="shared" si="3"/>
        <v>16</v>
      </c>
      <c r="R103" s="4"/>
      <c r="S103" s="4" t="str">
        <v>Lisa Anderson</v>
      </c>
      <c r="T103" s="4"/>
      <c r="U103" s="4"/>
      <c r="V103" s="4"/>
      <c r="W103" s="4"/>
      <c r="X103" s="4"/>
      <c r="Y103" s="4"/>
      <c r="Z103" s="4"/>
    </row>
    <row r="104" spans="1:26" ht="29.4" thickBot="1" x14ac:dyDescent="0.35">
      <c r="A104" s="4" t="s">
        <v>231</v>
      </c>
      <c r="B104" s="6">
        <v>45532</v>
      </c>
      <c r="C104" s="4" t="s">
        <v>198</v>
      </c>
      <c r="D104" s="4" t="s">
        <v>199</v>
      </c>
      <c r="E104" s="4" t="s">
        <v>82</v>
      </c>
      <c r="F104" s="4" t="s">
        <v>83</v>
      </c>
      <c r="G104" s="4" t="s">
        <v>21</v>
      </c>
      <c r="H104" s="7">
        <v>1</v>
      </c>
      <c r="I104" s="7">
        <v>699.99</v>
      </c>
      <c r="J104" s="4" t="s">
        <v>22</v>
      </c>
      <c r="K104" s="4" t="s">
        <v>23</v>
      </c>
      <c r="L104" s="4" t="s">
        <v>29</v>
      </c>
      <c r="M104" s="6">
        <v>44497</v>
      </c>
      <c r="N104" s="7">
        <f t="shared" si="2"/>
        <v>699.99</v>
      </c>
      <c r="O104" s="4"/>
      <c r="P104" s="4"/>
      <c r="Q104" s="4">
        <f t="shared" si="3"/>
        <v>31</v>
      </c>
      <c r="R104" s="4"/>
      <c r="S104" s="4" t="str">
        <v>Gerald Murphy</v>
      </c>
      <c r="T104" s="4"/>
      <c r="U104" s="4"/>
      <c r="V104" s="4"/>
      <c r="W104" s="4"/>
      <c r="X104" s="4"/>
      <c r="Y104" s="4"/>
      <c r="Z104" s="4"/>
    </row>
    <row r="105" spans="1:26" ht="29.4" thickBot="1" x14ac:dyDescent="0.35">
      <c r="A105" s="4" t="s">
        <v>366</v>
      </c>
      <c r="B105" s="6">
        <v>45710</v>
      </c>
      <c r="C105" s="4" t="s">
        <v>152</v>
      </c>
      <c r="D105" s="4" t="s">
        <v>153</v>
      </c>
      <c r="E105" s="4" t="s">
        <v>82</v>
      </c>
      <c r="F105" s="4" t="s">
        <v>83</v>
      </c>
      <c r="G105" s="4" t="s">
        <v>21</v>
      </c>
      <c r="H105" s="7">
        <v>1</v>
      </c>
      <c r="I105" s="7">
        <v>699.99</v>
      </c>
      <c r="J105" s="4" t="s">
        <v>36</v>
      </c>
      <c r="K105" s="4" t="s">
        <v>52</v>
      </c>
      <c r="L105" s="4" t="s">
        <v>24</v>
      </c>
      <c r="M105" s="6">
        <v>44934</v>
      </c>
      <c r="N105" s="7">
        <f t="shared" si="2"/>
        <v>699.99</v>
      </c>
      <c r="O105" s="4"/>
      <c r="P105" s="4"/>
      <c r="Q105" s="4">
        <f t="shared" si="3"/>
        <v>31</v>
      </c>
      <c r="R105" s="4"/>
      <c r="S105" s="4" t="str">
        <v>Sharon Butler</v>
      </c>
      <c r="T105" s="4"/>
      <c r="U105" s="4"/>
      <c r="V105" s="4"/>
      <c r="W105" s="4"/>
      <c r="X105" s="4"/>
      <c r="Y105" s="4"/>
      <c r="Z105" s="4"/>
    </row>
    <row r="106" spans="1:26" ht="29.4" thickBot="1" x14ac:dyDescent="0.35">
      <c r="A106" s="4" t="s">
        <v>367</v>
      </c>
      <c r="B106" s="6">
        <v>45711</v>
      </c>
      <c r="C106" s="4" t="s">
        <v>248</v>
      </c>
      <c r="D106" s="4" t="s">
        <v>249</v>
      </c>
      <c r="E106" s="4" t="s">
        <v>82</v>
      </c>
      <c r="F106" s="4" t="s">
        <v>83</v>
      </c>
      <c r="G106" s="4" t="s">
        <v>21</v>
      </c>
      <c r="H106" s="7">
        <v>1</v>
      </c>
      <c r="I106" s="7">
        <v>699.99</v>
      </c>
      <c r="J106" s="4" t="s">
        <v>22</v>
      </c>
      <c r="K106" s="4" t="s">
        <v>42</v>
      </c>
      <c r="L106" s="4" t="s">
        <v>29</v>
      </c>
      <c r="M106" s="6">
        <v>44583</v>
      </c>
      <c r="N106" s="7">
        <f t="shared" si="2"/>
        <v>699.99</v>
      </c>
      <c r="O106" s="4"/>
      <c r="P106" s="4"/>
      <c r="Q106" s="4">
        <f t="shared" si="3"/>
        <v>31</v>
      </c>
      <c r="R106" s="4"/>
      <c r="S106" s="4" t="str">
        <v>Ruth Brooks</v>
      </c>
      <c r="T106" s="4"/>
      <c r="U106" s="4"/>
      <c r="V106" s="4"/>
      <c r="W106" s="4"/>
      <c r="X106" s="4"/>
      <c r="Y106" s="4"/>
      <c r="Z106" s="4"/>
    </row>
    <row r="107" spans="1:26" ht="29.4" thickBot="1" x14ac:dyDescent="0.35">
      <c r="A107" s="4" t="s">
        <v>171</v>
      </c>
      <c r="B107" s="6">
        <v>45460</v>
      </c>
      <c r="C107" s="4" t="s">
        <v>143</v>
      </c>
      <c r="D107" s="4" t="s">
        <v>144</v>
      </c>
      <c r="E107" s="4" t="s">
        <v>107</v>
      </c>
      <c r="F107" s="4" t="s">
        <v>108</v>
      </c>
      <c r="G107" s="4" t="s">
        <v>48</v>
      </c>
      <c r="H107" s="7">
        <v>2</v>
      </c>
      <c r="I107" s="7">
        <v>299.99</v>
      </c>
      <c r="J107" s="4" t="s">
        <v>59</v>
      </c>
      <c r="K107" s="4" t="s">
        <v>65</v>
      </c>
      <c r="L107" s="4" t="s">
        <v>38</v>
      </c>
      <c r="M107" s="6">
        <v>45253</v>
      </c>
      <c r="N107" s="7">
        <f t="shared" si="2"/>
        <v>599.98</v>
      </c>
      <c r="O107" s="4"/>
      <c r="P107" s="4"/>
      <c r="Q107" s="4">
        <f t="shared" si="3"/>
        <v>26</v>
      </c>
      <c r="R107" s="4"/>
      <c r="S107" s="4" t="str">
        <v>Jennifer Taylor</v>
      </c>
      <c r="T107" s="4"/>
      <c r="U107" s="4"/>
      <c r="V107" s="4"/>
      <c r="W107" s="4"/>
      <c r="X107" s="4"/>
      <c r="Y107" s="4"/>
      <c r="Z107" s="4"/>
    </row>
    <row r="108" spans="1:26" ht="29.4" thickBot="1" x14ac:dyDescent="0.35">
      <c r="A108" s="4" t="s">
        <v>259</v>
      </c>
      <c r="B108" s="6">
        <v>45563</v>
      </c>
      <c r="C108" s="4" t="s">
        <v>101</v>
      </c>
      <c r="D108" s="4" t="s">
        <v>102</v>
      </c>
      <c r="E108" s="4" t="s">
        <v>107</v>
      </c>
      <c r="F108" s="4" t="s">
        <v>108</v>
      </c>
      <c r="G108" s="4" t="s">
        <v>48</v>
      </c>
      <c r="H108" s="7">
        <v>2</v>
      </c>
      <c r="I108" s="7">
        <v>299.99</v>
      </c>
      <c r="J108" s="4" t="s">
        <v>59</v>
      </c>
      <c r="K108" s="4" t="s">
        <v>23</v>
      </c>
      <c r="L108" s="4" t="s">
        <v>24</v>
      </c>
      <c r="M108" s="6">
        <v>44569</v>
      </c>
      <c r="N108" s="7">
        <f t="shared" si="2"/>
        <v>599.98</v>
      </c>
      <c r="O108" s="4"/>
      <c r="P108" s="4"/>
      <c r="Q108" s="4">
        <f t="shared" si="3"/>
        <v>26</v>
      </c>
      <c r="R108" s="4"/>
      <c r="S108" s="4" t="str">
        <v>Patricia Moore</v>
      </c>
      <c r="T108" s="4"/>
      <c r="U108" s="4"/>
      <c r="V108" s="4"/>
      <c r="W108" s="4"/>
      <c r="X108" s="4"/>
      <c r="Y108" s="4"/>
      <c r="Z108" s="4"/>
    </row>
    <row r="109" spans="1:26" ht="29.4" thickBot="1" x14ac:dyDescent="0.35">
      <c r="A109" s="4" t="s">
        <v>312</v>
      </c>
      <c r="B109" s="6">
        <v>45641</v>
      </c>
      <c r="C109" s="4" t="s">
        <v>140</v>
      </c>
      <c r="D109" s="4" t="s">
        <v>141</v>
      </c>
      <c r="E109" s="4" t="s">
        <v>107</v>
      </c>
      <c r="F109" s="4" t="s">
        <v>108</v>
      </c>
      <c r="G109" s="4" t="s">
        <v>48</v>
      </c>
      <c r="H109" s="7">
        <v>2</v>
      </c>
      <c r="I109" s="7">
        <v>299.99</v>
      </c>
      <c r="J109" s="4" t="s">
        <v>22</v>
      </c>
      <c r="K109" s="4" t="s">
        <v>65</v>
      </c>
      <c r="L109" s="4" t="s">
        <v>29</v>
      </c>
      <c r="M109" s="6">
        <v>44724</v>
      </c>
      <c r="N109" s="7">
        <f t="shared" si="2"/>
        <v>599.98</v>
      </c>
      <c r="O109" s="4"/>
      <c r="P109" s="4"/>
      <c r="Q109" s="4">
        <f t="shared" si="3"/>
        <v>26</v>
      </c>
      <c r="R109" s="4"/>
      <c r="S109" s="4" t="str">
        <v>Steven Turner</v>
      </c>
      <c r="T109" s="4"/>
      <c r="U109" s="4"/>
      <c r="V109" s="4"/>
      <c r="W109" s="4"/>
      <c r="X109" s="4"/>
      <c r="Y109" s="4"/>
      <c r="Z109" s="4"/>
    </row>
    <row r="110" spans="1:26" ht="29.4" thickBot="1" x14ac:dyDescent="0.35">
      <c r="A110" s="4" t="s">
        <v>319</v>
      </c>
      <c r="B110" s="6">
        <v>45649</v>
      </c>
      <c r="C110" s="4" t="s">
        <v>31</v>
      </c>
      <c r="D110" s="4" t="s">
        <v>32</v>
      </c>
      <c r="E110" s="4" t="s">
        <v>107</v>
      </c>
      <c r="F110" s="4" t="s">
        <v>108</v>
      </c>
      <c r="G110" s="4" t="s">
        <v>48</v>
      </c>
      <c r="H110" s="7">
        <v>2</v>
      </c>
      <c r="I110" s="7">
        <v>299.99</v>
      </c>
      <c r="J110" s="4" t="s">
        <v>36</v>
      </c>
      <c r="K110" s="4" t="s">
        <v>37</v>
      </c>
      <c r="L110" s="4" t="s">
        <v>24</v>
      </c>
      <c r="M110" s="6">
        <v>44721</v>
      </c>
      <c r="N110" s="7">
        <f t="shared" si="2"/>
        <v>599.98</v>
      </c>
      <c r="O110" s="4"/>
      <c r="P110" s="4"/>
      <c r="Q110" s="4">
        <f t="shared" si="3"/>
        <v>26</v>
      </c>
      <c r="R110" s="4"/>
      <c r="S110" s="4" t="str">
        <v>Kevin Scott</v>
      </c>
      <c r="T110" s="4"/>
      <c r="U110" s="4"/>
      <c r="V110" s="4"/>
      <c r="W110" s="4"/>
      <c r="X110" s="4"/>
      <c r="Y110" s="4"/>
      <c r="Z110" s="4"/>
    </row>
    <row r="111" spans="1:26" ht="29.4" thickBot="1" x14ac:dyDescent="0.35">
      <c r="A111" s="4" t="s">
        <v>320</v>
      </c>
      <c r="B111" s="6">
        <v>45654</v>
      </c>
      <c r="C111" s="4" t="s">
        <v>44</v>
      </c>
      <c r="D111" s="4" t="s">
        <v>45</v>
      </c>
      <c r="E111" s="4" t="s">
        <v>107</v>
      </c>
      <c r="F111" s="4" t="s">
        <v>108</v>
      </c>
      <c r="G111" s="4" t="s">
        <v>48</v>
      </c>
      <c r="H111" s="7">
        <v>2</v>
      </c>
      <c r="I111" s="7">
        <v>299.99</v>
      </c>
      <c r="J111" s="4" t="s">
        <v>22</v>
      </c>
      <c r="K111" s="4" t="s">
        <v>52</v>
      </c>
      <c r="L111" s="4" t="s">
        <v>24</v>
      </c>
      <c r="M111" s="6">
        <v>44771</v>
      </c>
      <c r="N111" s="7">
        <f t="shared" si="2"/>
        <v>599.98</v>
      </c>
      <c r="O111" s="4"/>
      <c r="P111" s="4"/>
      <c r="Q111" s="4">
        <f t="shared" si="3"/>
        <v>26</v>
      </c>
      <c r="R111" s="4"/>
      <c r="S111" s="4" t="str">
        <v>Michael Brown</v>
      </c>
      <c r="T111" s="4"/>
      <c r="U111" s="4"/>
      <c r="V111" s="4"/>
      <c r="W111" s="4"/>
      <c r="X111" s="4"/>
      <c r="Y111" s="4"/>
      <c r="Z111" s="4"/>
    </row>
    <row r="112" spans="1:26" ht="29.4" thickBot="1" x14ac:dyDescent="0.35">
      <c r="A112" s="4" t="s">
        <v>372</v>
      </c>
      <c r="B112" s="6">
        <v>45715</v>
      </c>
      <c r="C112" s="4" t="s">
        <v>95</v>
      </c>
      <c r="D112" s="4" t="s">
        <v>96</v>
      </c>
      <c r="E112" s="4" t="s">
        <v>107</v>
      </c>
      <c r="F112" s="4" t="s">
        <v>108</v>
      </c>
      <c r="G112" s="4" t="s">
        <v>48</v>
      </c>
      <c r="H112" s="7">
        <v>2</v>
      </c>
      <c r="I112" s="7">
        <v>299.99</v>
      </c>
      <c r="J112" s="4" t="s">
        <v>36</v>
      </c>
      <c r="K112" s="4" t="s">
        <v>37</v>
      </c>
      <c r="L112" s="4" t="s">
        <v>24</v>
      </c>
      <c r="M112" s="6">
        <v>44576</v>
      </c>
      <c r="N112" s="7">
        <f t="shared" si="2"/>
        <v>599.98</v>
      </c>
      <c r="O112" s="4"/>
      <c r="P112" s="4"/>
      <c r="Q112" s="4">
        <f t="shared" si="3"/>
        <v>26</v>
      </c>
      <c r="R112" s="4"/>
      <c r="S112" s="4" t="str">
        <v>Virginia Sanders</v>
      </c>
      <c r="T112" s="4"/>
      <c r="U112" s="4"/>
      <c r="V112" s="4"/>
      <c r="W112" s="4"/>
      <c r="X112" s="4"/>
      <c r="Y112" s="4"/>
      <c r="Z112" s="4"/>
    </row>
    <row r="113" spans="1:26" ht="29.4" thickBot="1" x14ac:dyDescent="0.35">
      <c r="A113" s="4" t="s">
        <v>139</v>
      </c>
      <c r="B113" s="6">
        <v>45438</v>
      </c>
      <c r="C113" s="4" t="s">
        <v>140</v>
      </c>
      <c r="D113" s="4" t="s">
        <v>141</v>
      </c>
      <c r="E113" s="4" t="s">
        <v>128</v>
      </c>
      <c r="F113" s="4" t="s">
        <v>129</v>
      </c>
      <c r="G113" s="4" t="s">
        <v>48</v>
      </c>
      <c r="H113" s="7">
        <v>3</v>
      </c>
      <c r="I113" s="7">
        <v>199.99</v>
      </c>
      <c r="J113" s="4" t="s">
        <v>28</v>
      </c>
      <c r="K113" s="4" t="s">
        <v>42</v>
      </c>
      <c r="L113" s="4" t="s">
        <v>29</v>
      </c>
      <c r="M113" s="6">
        <v>45292</v>
      </c>
      <c r="N113" s="7">
        <f t="shared" si="2"/>
        <v>599.97</v>
      </c>
      <c r="O113" s="4"/>
      <c r="P113" s="4"/>
      <c r="Q113" s="4">
        <f t="shared" si="3"/>
        <v>15</v>
      </c>
      <c r="R113" s="4"/>
      <c r="S113" s="4" t="str">
        <v>Steven Turner</v>
      </c>
      <c r="T113" s="4"/>
      <c r="U113" s="4"/>
      <c r="V113" s="4"/>
      <c r="W113" s="4"/>
      <c r="X113" s="4"/>
      <c r="Y113" s="4"/>
      <c r="Z113" s="4"/>
    </row>
    <row r="114" spans="1:26" ht="29.4" thickBot="1" x14ac:dyDescent="0.35">
      <c r="A114" s="4" t="s">
        <v>201</v>
      </c>
      <c r="B114" s="6">
        <v>45491</v>
      </c>
      <c r="C114" s="4" t="s">
        <v>67</v>
      </c>
      <c r="D114" s="4" t="s">
        <v>68</v>
      </c>
      <c r="E114" s="4" t="s">
        <v>128</v>
      </c>
      <c r="F114" s="4" t="s">
        <v>129</v>
      </c>
      <c r="G114" s="4" t="s">
        <v>48</v>
      </c>
      <c r="H114" s="7">
        <v>3</v>
      </c>
      <c r="I114" s="7">
        <v>199.99</v>
      </c>
      <c r="J114" s="4" t="s">
        <v>22</v>
      </c>
      <c r="K114" s="4" t="s">
        <v>42</v>
      </c>
      <c r="L114" s="4" t="s">
        <v>29</v>
      </c>
      <c r="M114" s="6">
        <v>45254</v>
      </c>
      <c r="N114" s="7">
        <f t="shared" si="2"/>
        <v>599.97</v>
      </c>
      <c r="O114" s="4"/>
      <c r="P114" s="4"/>
      <c r="Q114" s="4">
        <f t="shared" si="3"/>
        <v>15</v>
      </c>
      <c r="R114" s="4"/>
      <c r="S114" s="4" t="str">
        <v>Karen Hill</v>
      </c>
      <c r="T114" s="4"/>
      <c r="U114" s="4"/>
      <c r="V114" s="4"/>
      <c r="W114" s="4"/>
      <c r="X114" s="4"/>
      <c r="Y114" s="4"/>
      <c r="Z114" s="4"/>
    </row>
    <row r="115" spans="1:26" ht="29.4" thickBot="1" x14ac:dyDescent="0.35">
      <c r="A115" s="4" t="s">
        <v>358</v>
      </c>
      <c r="B115" s="6">
        <v>45704</v>
      </c>
      <c r="C115" s="4" t="s">
        <v>31</v>
      </c>
      <c r="D115" s="4" t="s">
        <v>32</v>
      </c>
      <c r="E115" s="4" t="s">
        <v>128</v>
      </c>
      <c r="F115" s="4" t="s">
        <v>129</v>
      </c>
      <c r="G115" s="4" t="s">
        <v>48</v>
      </c>
      <c r="H115" s="7">
        <v>3</v>
      </c>
      <c r="I115" s="7">
        <v>199.99</v>
      </c>
      <c r="J115" s="4" t="s">
        <v>22</v>
      </c>
      <c r="K115" s="4" t="s">
        <v>23</v>
      </c>
      <c r="L115" s="4" t="s">
        <v>24</v>
      </c>
      <c r="M115" s="6">
        <v>44735</v>
      </c>
      <c r="N115" s="7">
        <f t="shared" si="2"/>
        <v>599.97</v>
      </c>
      <c r="O115" s="4"/>
      <c r="P115" s="4"/>
      <c r="Q115" s="4">
        <f t="shared" si="3"/>
        <v>15</v>
      </c>
      <c r="R115" s="4"/>
      <c r="S115" s="4" t="str">
        <v>Kevin Scott</v>
      </c>
      <c r="T115" s="4"/>
      <c r="U115" s="4"/>
      <c r="V115" s="4"/>
      <c r="W115" s="4"/>
      <c r="X115" s="4"/>
      <c r="Y115" s="4"/>
      <c r="Z115" s="4"/>
    </row>
    <row r="116" spans="1:26" ht="29.4" thickBot="1" x14ac:dyDescent="0.35">
      <c r="A116" s="4" t="s">
        <v>364</v>
      </c>
      <c r="B116" s="6">
        <v>45708</v>
      </c>
      <c r="C116" s="4" t="s">
        <v>194</v>
      </c>
      <c r="D116" s="4" t="s">
        <v>195</v>
      </c>
      <c r="E116" s="4" t="s">
        <v>128</v>
      </c>
      <c r="F116" s="4" t="s">
        <v>129</v>
      </c>
      <c r="G116" s="4" t="s">
        <v>48</v>
      </c>
      <c r="H116" s="7">
        <v>3</v>
      </c>
      <c r="I116" s="7">
        <v>199.99</v>
      </c>
      <c r="J116" s="4" t="s">
        <v>22</v>
      </c>
      <c r="K116" s="4" t="s">
        <v>52</v>
      </c>
      <c r="L116" s="4" t="s">
        <v>29</v>
      </c>
      <c r="M116" s="6">
        <v>44823</v>
      </c>
      <c r="N116" s="7">
        <f t="shared" si="2"/>
        <v>599.97</v>
      </c>
      <c r="O116" s="4"/>
      <c r="P116" s="4"/>
      <c r="Q116" s="4">
        <f t="shared" si="3"/>
        <v>15</v>
      </c>
      <c r="R116" s="4"/>
      <c r="S116" s="4" t="str">
        <v>Frank Torres</v>
      </c>
      <c r="T116" s="4"/>
      <c r="U116" s="4"/>
      <c r="V116" s="4"/>
      <c r="W116" s="4"/>
      <c r="X116" s="4"/>
      <c r="Y116" s="4"/>
      <c r="Z116" s="4"/>
    </row>
    <row r="117" spans="1:26" ht="29.4" thickBot="1" x14ac:dyDescent="0.35">
      <c r="A117" s="4" t="s">
        <v>87</v>
      </c>
      <c r="B117" s="6">
        <v>45410</v>
      </c>
      <c r="C117" s="4" t="s">
        <v>88</v>
      </c>
      <c r="D117" s="4" t="s">
        <v>89</v>
      </c>
      <c r="E117" s="4" t="s">
        <v>46</v>
      </c>
      <c r="F117" s="4" t="s">
        <v>47</v>
      </c>
      <c r="G117" s="4" t="s">
        <v>48</v>
      </c>
      <c r="H117" s="7">
        <v>4</v>
      </c>
      <c r="I117" s="7">
        <v>149.99</v>
      </c>
      <c r="J117" s="4" t="s">
        <v>59</v>
      </c>
      <c r="K117" s="4" t="s">
        <v>42</v>
      </c>
      <c r="L117" s="4" t="s">
        <v>29</v>
      </c>
      <c r="M117" s="6">
        <v>45374</v>
      </c>
      <c r="N117" s="7">
        <f t="shared" si="2"/>
        <v>599.96</v>
      </c>
      <c r="O117" s="4"/>
      <c r="P117" s="4"/>
      <c r="Q117" s="4">
        <f t="shared" si="3"/>
        <v>35</v>
      </c>
      <c r="R117" s="4"/>
      <c r="S117" s="4" t="str">
        <v>Mark Carter</v>
      </c>
      <c r="T117" s="4"/>
      <c r="U117" s="4"/>
      <c r="V117" s="4"/>
      <c r="W117" s="4"/>
      <c r="X117" s="4"/>
      <c r="Y117" s="4"/>
      <c r="Z117" s="4"/>
    </row>
    <row r="118" spans="1:26" ht="29.4" thickBot="1" x14ac:dyDescent="0.35">
      <c r="A118" s="4" t="s">
        <v>218</v>
      </c>
      <c r="B118" s="6">
        <v>45517</v>
      </c>
      <c r="C118" s="4" t="s">
        <v>184</v>
      </c>
      <c r="D118" s="4" t="s">
        <v>185</v>
      </c>
      <c r="E118" s="4" t="s">
        <v>54</v>
      </c>
      <c r="F118" s="4" t="s">
        <v>55</v>
      </c>
      <c r="G118" s="4" t="s">
        <v>21</v>
      </c>
      <c r="H118" s="7">
        <v>4</v>
      </c>
      <c r="I118" s="7">
        <v>149.99</v>
      </c>
      <c r="J118" s="4" t="s">
        <v>59</v>
      </c>
      <c r="K118" s="4" t="s">
        <v>37</v>
      </c>
      <c r="L118" s="4" t="s">
        <v>29</v>
      </c>
      <c r="M118" s="6">
        <v>44820</v>
      </c>
      <c r="N118" s="7">
        <f t="shared" si="2"/>
        <v>599.96</v>
      </c>
      <c r="O118" s="4"/>
      <c r="P118" s="4"/>
      <c r="Q118" s="4">
        <f t="shared" si="3"/>
        <v>16</v>
      </c>
      <c r="R118" s="4"/>
      <c r="S118" s="4" t="str">
        <v>David Martinez</v>
      </c>
      <c r="T118" s="4"/>
      <c r="U118" s="4"/>
      <c r="V118" s="4"/>
      <c r="W118" s="4"/>
      <c r="X118" s="4"/>
      <c r="Y118" s="4"/>
      <c r="Z118" s="4"/>
    </row>
    <row r="119" spans="1:26" ht="29.4" thickBot="1" x14ac:dyDescent="0.35">
      <c r="A119" s="4" t="s">
        <v>247</v>
      </c>
      <c r="B119" s="6">
        <v>45550</v>
      </c>
      <c r="C119" s="4" t="s">
        <v>248</v>
      </c>
      <c r="D119" s="4" t="s">
        <v>249</v>
      </c>
      <c r="E119" s="4" t="s">
        <v>54</v>
      </c>
      <c r="F119" s="4" t="s">
        <v>55</v>
      </c>
      <c r="G119" s="4" t="s">
        <v>21</v>
      </c>
      <c r="H119" s="7">
        <v>4</v>
      </c>
      <c r="I119" s="7">
        <v>149.99</v>
      </c>
      <c r="J119" s="4" t="s">
        <v>22</v>
      </c>
      <c r="K119" s="4" t="s">
        <v>42</v>
      </c>
      <c r="L119" s="4" t="s">
        <v>24</v>
      </c>
      <c r="M119" s="6">
        <v>44909</v>
      </c>
      <c r="N119" s="7">
        <f t="shared" si="2"/>
        <v>599.96</v>
      </c>
      <c r="O119" s="4"/>
      <c r="P119" s="4"/>
      <c r="Q119" s="4">
        <f t="shared" si="3"/>
        <v>16</v>
      </c>
      <c r="R119" s="4"/>
      <c r="S119" s="4" t="str">
        <v>Ruth Brooks</v>
      </c>
      <c r="T119" s="4"/>
      <c r="U119" s="4"/>
      <c r="V119" s="4"/>
      <c r="W119" s="4"/>
      <c r="X119" s="4"/>
      <c r="Y119" s="4"/>
      <c r="Z119" s="4"/>
    </row>
    <row r="120" spans="1:26" ht="29.4" thickBot="1" x14ac:dyDescent="0.35">
      <c r="A120" s="4" t="s">
        <v>265</v>
      </c>
      <c r="B120" s="6">
        <v>45572</v>
      </c>
      <c r="C120" s="4" t="s">
        <v>236</v>
      </c>
      <c r="D120" s="4" t="s">
        <v>237</v>
      </c>
      <c r="E120" s="4" t="s">
        <v>54</v>
      </c>
      <c r="F120" s="4" t="s">
        <v>55</v>
      </c>
      <c r="G120" s="4" t="s">
        <v>21</v>
      </c>
      <c r="H120" s="7">
        <v>4</v>
      </c>
      <c r="I120" s="7">
        <v>149.99</v>
      </c>
      <c r="J120" s="4" t="s">
        <v>28</v>
      </c>
      <c r="K120" s="4" t="s">
        <v>42</v>
      </c>
      <c r="L120" s="4" t="s">
        <v>29</v>
      </c>
      <c r="M120" s="6">
        <v>45076</v>
      </c>
      <c r="N120" s="7">
        <f t="shared" si="2"/>
        <v>599.96</v>
      </c>
      <c r="O120" s="4"/>
      <c r="P120" s="4"/>
      <c r="Q120" s="4">
        <f t="shared" si="3"/>
        <v>16</v>
      </c>
      <c r="R120" s="4"/>
      <c r="S120" s="4" t="str">
        <v>Sandra Phillips</v>
      </c>
      <c r="T120" s="4"/>
      <c r="U120" s="4"/>
      <c r="V120" s="4"/>
      <c r="W120" s="4"/>
      <c r="X120" s="4"/>
      <c r="Y120" s="4"/>
      <c r="Z120" s="4"/>
    </row>
    <row r="121" spans="1:26" ht="29.4" thickBot="1" x14ac:dyDescent="0.35">
      <c r="A121" s="4" t="s">
        <v>334</v>
      </c>
      <c r="B121" s="6">
        <v>45668</v>
      </c>
      <c r="C121" s="4" t="s">
        <v>140</v>
      </c>
      <c r="D121" s="4" t="s">
        <v>141</v>
      </c>
      <c r="E121" s="4" t="s">
        <v>54</v>
      </c>
      <c r="F121" s="4" t="s">
        <v>55</v>
      </c>
      <c r="G121" s="4" t="s">
        <v>21</v>
      </c>
      <c r="H121" s="7">
        <v>4</v>
      </c>
      <c r="I121" s="7">
        <v>149.99</v>
      </c>
      <c r="J121" s="4" t="s">
        <v>59</v>
      </c>
      <c r="K121" s="4" t="s">
        <v>65</v>
      </c>
      <c r="L121" s="4" t="s">
        <v>38</v>
      </c>
      <c r="M121" s="6">
        <v>44536</v>
      </c>
      <c r="N121" s="7">
        <f t="shared" si="2"/>
        <v>599.96</v>
      </c>
      <c r="O121" s="4"/>
      <c r="P121" s="4"/>
      <c r="Q121" s="4">
        <f t="shared" si="3"/>
        <v>16</v>
      </c>
      <c r="R121" s="4"/>
      <c r="S121" s="4" t="str">
        <v>Steven Turner</v>
      </c>
      <c r="T121" s="4"/>
      <c r="U121" s="4"/>
      <c r="V121" s="4"/>
      <c r="W121" s="4"/>
      <c r="X121" s="4"/>
      <c r="Y121" s="4"/>
      <c r="Z121" s="4"/>
    </row>
    <row r="122" spans="1:26" ht="29.4" thickBot="1" x14ac:dyDescent="0.35">
      <c r="A122" s="4" t="s">
        <v>368</v>
      </c>
      <c r="B122" s="6">
        <v>45711</v>
      </c>
      <c r="C122" s="4" t="s">
        <v>327</v>
      </c>
      <c r="D122" s="4" t="s">
        <v>328</v>
      </c>
      <c r="E122" s="4" t="s">
        <v>46</v>
      </c>
      <c r="F122" s="4" t="s">
        <v>47</v>
      </c>
      <c r="G122" s="4" t="s">
        <v>48</v>
      </c>
      <c r="H122" s="7">
        <v>4</v>
      </c>
      <c r="I122" s="7">
        <v>149.99</v>
      </c>
      <c r="J122" s="4" t="s">
        <v>36</v>
      </c>
      <c r="K122" s="4" t="s">
        <v>42</v>
      </c>
      <c r="L122" s="4" t="s">
        <v>29</v>
      </c>
      <c r="M122" s="6">
        <v>44412</v>
      </c>
      <c r="N122" s="7">
        <f t="shared" si="2"/>
        <v>599.96</v>
      </c>
      <c r="O122" s="4"/>
      <c r="P122" s="4"/>
      <c r="Q122" s="4">
        <f t="shared" si="3"/>
        <v>35</v>
      </c>
      <c r="R122" s="4"/>
      <c r="S122" s="4" t="str">
        <v>Arthur Edwards</v>
      </c>
      <c r="T122" s="4"/>
      <c r="U122" s="4"/>
      <c r="V122" s="4"/>
      <c r="W122" s="4"/>
      <c r="X122" s="4"/>
      <c r="Y122" s="4"/>
      <c r="Z122" s="4"/>
    </row>
    <row r="123" spans="1:26" ht="29.4" thickBot="1" x14ac:dyDescent="0.35">
      <c r="A123" s="4" t="s">
        <v>380</v>
      </c>
      <c r="B123" s="6">
        <v>45724</v>
      </c>
      <c r="C123" s="4" t="s">
        <v>57</v>
      </c>
      <c r="D123" s="4" t="s">
        <v>58</v>
      </c>
      <c r="E123" s="4" t="s">
        <v>46</v>
      </c>
      <c r="F123" s="4" t="s">
        <v>47</v>
      </c>
      <c r="G123" s="4" t="s">
        <v>48</v>
      </c>
      <c r="H123" s="7">
        <v>4</v>
      </c>
      <c r="I123" s="7">
        <v>149.99</v>
      </c>
      <c r="J123" s="4" t="s">
        <v>22</v>
      </c>
      <c r="K123" s="4" t="s">
        <v>23</v>
      </c>
      <c r="L123" s="4" t="s">
        <v>38</v>
      </c>
      <c r="M123" s="6">
        <v>45263</v>
      </c>
      <c r="N123" s="7">
        <f t="shared" si="2"/>
        <v>599.96</v>
      </c>
      <c r="O123" s="4"/>
      <c r="P123" s="4"/>
      <c r="Q123" s="4">
        <f t="shared" si="3"/>
        <v>35</v>
      </c>
      <c r="R123" s="4"/>
      <c r="S123" s="4" t="str">
        <v>Charles Allen</v>
      </c>
      <c r="T123" s="4"/>
      <c r="U123" s="4"/>
      <c r="V123" s="4"/>
      <c r="W123" s="4"/>
      <c r="X123" s="4"/>
      <c r="Y123" s="4"/>
      <c r="Z123" s="4"/>
    </row>
    <row r="124" spans="1:26" ht="29.4" thickBot="1" x14ac:dyDescent="0.35">
      <c r="A124" s="4" t="s">
        <v>387</v>
      </c>
      <c r="B124" s="6">
        <v>45740</v>
      </c>
      <c r="C124" s="4" t="s">
        <v>388</v>
      </c>
      <c r="D124" s="4" t="s">
        <v>389</v>
      </c>
      <c r="E124" s="4" t="s">
        <v>46</v>
      </c>
      <c r="F124" s="4" t="s">
        <v>47</v>
      </c>
      <c r="G124" s="4" t="s">
        <v>48</v>
      </c>
      <c r="H124" s="7">
        <v>4</v>
      </c>
      <c r="I124" s="7">
        <v>149.99</v>
      </c>
      <c r="J124" s="4" t="s">
        <v>36</v>
      </c>
      <c r="K124" s="4" t="s">
        <v>52</v>
      </c>
      <c r="L124" s="4" t="s">
        <v>38</v>
      </c>
      <c r="M124" s="6">
        <v>44560</v>
      </c>
      <c r="N124" s="7">
        <f t="shared" si="2"/>
        <v>599.96</v>
      </c>
      <c r="O124" s="4"/>
      <c r="P124" s="4"/>
      <c r="Q124" s="4">
        <f t="shared" si="3"/>
        <v>35</v>
      </c>
      <c r="R124" s="4"/>
      <c r="S124" s="4" t="str">
        <v>John Smith</v>
      </c>
      <c r="T124" s="4"/>
      <c r="U124" s="4"/>
      <c r="V124" s="4"/>
      <c r="W124" s="4"/>
      <c r="X124" s="4"/>
      <c r="Y124" s="4"/>
      <c r="Z124" s="4"/>
    </row>
    <row r="125" spans="1:26" ht="29.4" thickBot="1" x14ac:dyDescent="0.35">
      <c r="A125" s="4" t="s">
        <v>206</v>
      </c>
      <c r="B125" s="6">
        <v>45500</v>
      </c>
      <c r="C125" s="4" t="s">
        <v>98</v>
      </c>
      <c r="D125" s="4" t="s">
        <v>99</v>
      </c>
      <c r="E125" s="4" t="s">
        <v>19</v>
      </c>
      <c r="F125" s="4" t="s">
        <v>20</v>
      </c>
      <c r="G125" s="4" t="s">
        <v>21</v>
      </c>
      <c r="H125" s="7">
        <v>2</v>
      </c>
      <c r="I125" s="7">
        <v>249.99</v>
      </c>
      <c r="J125" s="4" t="s">
        <v>22</v>
      </c>
      <c r="K125" s="4" t="s">
        <v>42</v>
      </c>
      <c r="L125" s="4" t="s">
        <v>29</v>
      </c>
      <c r="M125" s="6">
        <v>45164</v>
      </c>
      <c r="N125" s="7">
        <f t="shared" si="2"/>
        <v>499.98</v>
      </c>
      <c r="O125" s="4"/>
      <c r="P125" s="4"/>
      <c r="Q125" s="4">
        <f t="shared" si="3"/>
        <v>26</v>
      </c>
      <c r="R125" s="4"/>
      <c r="S125" s="4" t="str">
        <v>Barbara Young</v>
      </c>
      <c r="T125" s="4"/>
      <c r="U125" s="4"/>
      <c r="V125" s="4"/>
      <c r="W125" s="4"/>
      <c r="X125" s="4"/>
      <c r="Y125" s="4"/>
      <c r="Z125" s="4"/>
    </row>
    <row r="126" spans="1:26" ht="29.4" thickBot="1" x14ac:dyDescent="0.35">
      <c r="A126" s="4" t="s">
        <v>230</v>
      </c>
      <c r="B126" s="6">
        <v>45528</v>
      </c>
      <c r="C126" s="4" t="s">
        <v>146</v>
      </c>
      <c r="D126" s="4" t="s">
        <v>147</v>
      </c>
      <c r="E126" s="4" t="s">
        <v>19</v>
      </c>
      <c r="F126" s="4" t="s">
        <v>20</v>
      </c>
      <c r="G126" s="4" t="s">
        <v>21</v>
      </c>
      <c r="H126" s="7">
        <v>2</v>
      </c>
      <c r="I126" s="7">
        <v>249.99</v>
      </c>
      <c r="J126" s="4" t="s">
        <v>22</v>
      </c>
      <c r="K126" s="4" t="s">
        <v>37</v>
      </c>
      <c r="L126" s="4" t="s">
        <v>38</v>
      </c>
      <c r="M126" s="6">
        <v>44572</v>
      </c>
      <c r="N126" s="7">
        <f t="shared" si="2"/>
        <v>499.98</v>
      </c>
      <c r="O126" s="4"/>
      <c r="P126" s="4"/>
      <c r="Q126" s="4">
        <f t="shared" si="3"/>
        <v>26</v>
      </c>
      <c r="R126" s="4"/>
      <c r="S126" s="4" t="str">
        <v>Harry Morgan</v>
      </c>
      <c r="T126" s="4"/>
      <c r="U126" s="4"/>
      <c r="V126" s="4"/>
      <c r="W126" s="4"/>
      <c r="X126" s="4"/>
      <c r="Y126" s="4"/>
      <c r="Z126" s="4"/>
    </row>
    <row r="127" spans="1:26" ht="29.4" thickBot="1" x14ac:dyDescent="0.35">
      <c r="A127" s="4" t="s">
        <v>250</v>
      </c>
      <c r="B127" s="6">
        <v>45551</v>
      </c>
      <c r="C127" s="4" t="s">
        <v>67</v>
      </c>
      <c r="D127" s="4" t="s">
        <v>68</v>
      </c>
      <c r="E127" s="4" t="s">
        <v>19</v>
      </c>
      <c r="F127" s="4" t="s">
        <v>20</v>
      </c>
      <c r="G127" s="4" t="s">
        <v>21</v>
      </c>
      <c r="H127" s="7">
        <v>2</v>
      </c>
      <c r="I127" s="7">
        <v>249.99</v>
      </c>
      <c r="J127" s="4" t="s">
        <v>36</v>
      </c>
      <c r="K127" s="4" t="s">
        <v>37</v>
      </c>
      <c r="L127" s="4" t="s">
        <v>24</v>
      </c>
      <c r="M127" s="6">
        <v>44993</v>
      </c>
      <c r="N127" s="7">
        <f t="shared" si="2"/>
        <v>499.98</v>
      </c>
      <c r="O127" s="4"/>
      <c r="P127" s="4"/>
      <c r="Q127" s="4">
        <f t="shared" si="3"/>
        <v>26</v>
      </c>
      <c r="R127" s="4"/>
      <c r="S127" s="4" t="str">
        <v>Karen Hill</v>
      </c>
      <c r="T127" s="4"/>
      <c r="U127" s="4"/>
      <c r="V127" s="4"/>
      <c r="W127" s="4"/>
      <c r="X127" s="4"/>
      <c r="Y127" s="4"/>
      <c r="Z127" s="4"/>
    </row>
    <row r="128" spans="1:26" ht="29.4" thickBot="1" x14ac:dyDescent="0.35">
      <c r="A128" s="4" t="s">
        <v>304</v>
      </c>
      <c r="B128" s="6">
        <v>45635</v>
      </c>
      <c r="C128" s="4" t="s">
        <v>110</v>
      </c>
      <c r="D128" s="4" t="s">
        <v>111</v>
      </c>
      <c r="E128" s="4" t="s">
        <v>19</v>
      </c>
      <c r="F128" s="4" t="s">
        <v>20</v>
      </c>
      <c r="G128" s="4" t="s">
        <v>21</v>
      </c>
      <c r="H128" s="7">
        <v>2</v>
      </c>
      <c r="I128" s="7">
        <v>249.99</v>
      </c>
      <c r="J128" s="4" t="s">
        <v>28</v>
      </c>
      <c r="K128" s="4" t="s">
        <v>23</v>
      </c>
      <c r="L128" s="4" t="s">
        <v>29</v>
      </c>
      <c r="M128" s="6">
        <v>44396</v>
      </c>
      <c r="N128" s="7">
        <f t="shared" si="2"/>
        <v>499.98</v>
      </c>
      <c r="O128" s="4"/>
      <c r="P128" s="4"/>
      <c r="Q128" s="4">
        <f t="shared" si="3"/>
        <v>26</v>
      </c>
      <c r="R128" s="4"/>
      <c r="S128" s="4" t="str">
        <v>Nancy Collins</v>
      </c>
      <c r="T128" s="4"/>
      <c r="U128" s="4"/>
      <c r="V128" s="4"/>
      <c r="W128" s="4"/>
      <c r="X128" s="4"/>
      <c r="Y128" s="4"/>
      <c r="Z128" s="4"/>
    </row>
    <row r="129" spans="1:26" ht="43.8" thickBot="1" x14ac:dyDescent="0.35">
      <c r="A129" s="4" t="s">
        <v>73</v>
      </c>
      <c r="B129" s="6">
        <v>45408</v>
      </c>
      <c r="C129" s="4" t="s">
        <v>74</v>
      </c>
      <c r="D129" s="4" t="s">
        <v>75</v>
      </c>
      <c r="E129" s="4" t="s">
        <v>46</v>
      </c>
      <c r="F129" s="4" t="s">
        <v>47</v>
      </c>
      <c r="G129" s="4" t="s">
        <v>48</v>
      </c>
      <c r="H129" s="7">
        <v>3</v>
      </c>
      <c r="I129" s="7">
        <v>149.99</v>
      </c>
      <c r="J129" s="4" t="s">
        <v>22</v>
      </c>
      <c r="K129" s="4" t="s">
        <v>42</v>
      </c>
      <c r="L129" s="4" t="s">
        <v>29</v>
      </c>
      <c r="M129" s="6">
        <v>44806</v>
      </c>
      <c r="N129" s="7">
        <f t="shared" ref="N129:N192" si="4">H129*I129</f>
        <v>449.97</v>
      </c>
      <c r="O129" s="4"/>
      <c r="P129" s="4"/>
      <c r="Q129" s="4">
        <f t="shared" si="3"/>
        <v>35</v>
      </c>
      <c r="R129" s="4"/>
      <c r="S129" s="4" t="str">
        <v>Peter Richardson</v>
      </c>
      <c r="T129" s="4"/>
      <c r="U129" s="4"/>
      <c r="V129" s="4"/>
      <c r="W129" s="4"/>
      <c r="X129" s="4"/>
      <c r="Y129" s="4"/>
      <c r="Z129" s="4"/>
    </row>
    <row r="130" spans="1:26" ht="29.4" thickBot="1" x14ac:dyDescent="0.35">
      <c r="A130" s="4" t="s">
        <v>133</v>
      </c>
      <c r="B130" s="6">
        <v>45430</v>
      </c>
      <c r="C130" s="4" t="s">
        <v>134</v>
      </c>
      <c r="D130" s="4" t="s">
        <v>135</v>
      </c>
      <c r="E130" s="4" t="s">
        <v>46</v>
      </c>
      <c r="F130" s="4" t="s">
        <v>47</v>
      </c>
      <c r="G130" s="4" t="s">
        <v>48</v>
      </c>
      <c r="H130" s="7">
        <v>3</v>
      </c>
      <c r="I130" s="7">
        <v>149.99</v>
      </c>
      <c r="J130" s="4" t="s">
        <v>28</v>
      </c>
      <c r="K130" s="4" t="s">
        <v>52</v>
      </c>
      <c r="L130" s="4" t="s">
        <v>29</v>
      </c>
      <c r="M130" s="6">
        <v>45068</v>
      </c>
      <c r="N130" s="7">
        <f t="shared" si="4"/>
        <v>449.97</v>
      </c>
      <c r="O130" s="4"/>
      <c r="P130" s="4"/>
      <c r="Q130" s="4">
        <f t="shared" si="3"/>
        <v>35</v>
      </c>
      <c r="R130" s="4"/>
      <c r="S130" s="4" t="str">
        <v>Emma Wilson</v>
      </c>
      <c r="T130" s="4"/>
      <c r="U130" s="4"/>
      <c r="V130" s="4"/>
      <c r="W130" s="4"/>
      <c r="X130" s="4"/>
      <c r="Y130" s="4"/>
      <c r="Z130" s="4"/>
    </row>
    <row r="131" spans="1:26" ht="43.8" thickBot="1" x14ac:dyDescent="0.35">
      <c r="A131" s="4" t="s">
        <v>200</v>
      </c>
      <c r="B131" s="6">
        <v>45490</v>
      </c>
      <c r="C131" s="4" t="s">
        <v>74</v>
      </c>
      <c r="D131" s="4" t="s">
        <v>75</v>
      </c>
      <c r="E131" s="4" t="s">
        <v>46</v>
      </c>
      <c r="F131" s="4" t="s">
        <v>47</v>
      </c>
      <c r="G131" s="4" t="s">
        <v>48</v>
      </c>
      <c r="H131" s="7">
        <v>3</v>
      </c>
      <c r="I131" s="7">
        <v>149.99</v>
      </c>
      <c r="J131" s="4" t="s">
        <v>22</v>
      </c>
      <c r="K131" s="4" t="s">
        <v>23</v>
      </c>
      <c r="L131" s="4" t="s">
        <v>29</v>
      </c>
      <c r="M131" s="6">
        <v>45199</v>
      </c>
      <c r="N131" s="7">
        <f t="shared" si="4"/>
        <v>449.97</v>
      </c>
      <c r="O131" s="4"/>
      <c r="P131" s="4"/>
      <c r="Q131" s="4">
        <f t="shared" ref="Q131:Q194" si="5">COUNTIF(F:F,F131)</f>
        <v>35</v>
      </c>
      <c r="R131" s="4"/>
      <c r="S131" s="4" t="str">
        <v>Peter Richardson</v>
      </c>
      <c r="T131" s="4"/>
      <c r="U131" s="4"/>
      <c r="V131" s="4"/>
      <c r="W131" s="4"/>
      <c r="X131" s="4"/>
      <c r="Y131" s="4"/>
      <c r="Z131" s="4"/>
    </row>
    <row r="132" spans="1:26" ht="29.4" thickBot="1" x14ac:dyDescent="0.35">
      <c r="A132" s="4" t="s">
        <v>225</v>
      </c>
      <c r="B132" s="6">
        <v>45523</v>
      </c>
      <c r="C132" s="4" t="s">
        <v>110</v>
      </c>
      <c r="D132" s="4" t="s">
        <v>111</v>
      </c>
      <c r="E132" s="4" t="s">
        <v>54</v>
      </c>
      <c r="F132" s="4" t="s">
        <v>55</v>
      </c>
      <c r="G132" s="4" t="s">
        <v>21</v>
      </c>
      <c r="H132" s="7">
        <v>3</v>
      </c>
      <c r="I132" s="7">
        <v>149.99</v>
      </c>
      <c r="J132" s="4" t="s">
        <v>36</v>
      </c>
      <c r="K132" s="4" t="s">
        <v>65</v>
      </c>
      <c r="L132" s="4" t="s">
        <v>24</v>
      </c>
      <c r="M132" s="6">
        <v>44574</v>
      </c>
      <c r="N132" s="7">
        <f t="shared" si="4"/>
        <v>449.97</v>
      </c>
      <c r="O132" s="4"/>
      <c r="P132" s="4"/>
      <c r="Q132" s="4">
        <f t="shared" si="5"/>
        <v>16</v>
      </c>
      <c r="R132" s="4"/>
      <c r="S132" s="4" t="str">
        <v>Nancy Collins</v>
      </c>
      <c r="T132" s="4"/>
      <c r="U132" s="4"/>
      <c r="V132" s="4"/>
      <c r="W132" s="4"/>
      <c r="X132" s="4"/>
      <c r="Y132" s="4"/>
      <c r="Z132" s="4"/>
    </row>
    <row r="133" spans="1:26" ht="29.4" thickBot="1" x14ac:dyDescent="0.35">
      <c r="A133" s="4" t="s">
        <v>232</v>
      </c>
      <c r="B133" s="6">
        <v>45532</v>
      </c>
      <c r="C133" s="4" t="s">
        <v>233</v>
      </c>
      <c r="D133" s="4" t="s">
        <v>234</v>
      </c>
      <c r="E133" s="4" t="s">
        <v>54</v>
      </c>
      <c r="F133" s="4" t="s">
        <v>55</v>
      </c>
      <c r="G133" s="4" t="s">
        <v>21</v>
      </c>
      <c r="H133" s="7">
        <v>3</v>
      </c>
      <c r="I133" s="7">
        <v>149.99</v>
      </c>
      <c r="J133" s="4" t="s">
        <v>22</v>
      </c>
      <c r="K133" s="4" t="s">
        <v>52</v>
      </c>
      <c r="L133" s="4" t="s">
        <v>29</v>
      </c>
      <c r="M133" s="6">
        <v>45212</v>
      </c>
      <c r="N133" s="7">
        <f t="shared" si="4"/>
        <v>449.97</v>
      </c>
      <c r="O133" s="4"/>
      <c r="P133" s="4"/>
      <c r="Q133" s="4">
        <f t="shared" si="5"/>
        <v>16</v>
      </c>
      <c r="R133" s="4"/>
      <c r="S133" s="4" t="str">
        <v>Carol Evans</v>
      </c>
      <c r="T133" s="4"/>
      <c r="U133" s="4"/>
      <c r="V133" s="4"/>
      <c r="W133" s="4"/>
      <c r="X133" s="4"/>
      <c r="Y133" s="4"/>
      <c r="Z133" s="4"/>
    </row>
    <row r="134" spans="1:26" ht="29.4" thickBot="1" x14ac:dyDescent="0.35">
      <c r="A134" s="4" t="s">
        <v>258</v>
      </c>
      <c r="B134" s="6">
        <v>45560</v>
      </c>
      <c r="C134" s="4" t="s">
        <v>114</v>
      </c>
      <c r="D134" s="4" t="s">
        <v>115</v>
      </c>
      <c r="E134" s="4" t="s">
        <v>46</v>
      </c>
      <c r="F134" s="4" t="s">
        <v>47</v>
      </c>
      <c r="G134" s="4" t="s">
        <v>48</v>
      </c>
      <c r="H134" s="7">
        <v>3</v>
      </c>
      <c r="I134" s="7">
        <v>149.99</v>
      </c>
      <c r="J134" s="4" t="s">
        <v>36</v>
      </c>
      <c r="K134" s="4" t="s">
        <v>65</v>
      </c>
      <c r="L134" s="4" t="s">
        <v>24</v>
      </c>
      <c r="M134" s="6">
        <v>44886</v>
      </c>
      <c r="N134" s="7">
        <f t="shared" si="4"/>
        <v>449.97</v>
      </c>
      <c r="O134" s="4"/>
      <c r="P134" s="4"/>
      <c r="Q134" s="4">
        <f t="shared" si="5"/>
        <v>35</v>
      </c>
      <c r="R134" s="4"/>
      <c r="S134" s="4" t="str">
        <v>Linda Martin</v>
      </c>
      <c r="T134" s="4"/>
      <c r="U134" s="4"/>
      <c r="V134" s="4"/>
      <c r="W134" s="4"/>
      <c r="X134" s="4"/>
      <c r="Y134" s="4"/>
      <c r="Z134" s="4"/>
    </row>
    <row r="135" spans="1:26" ht="29.4" thickBot="1" x14ac:dyDescent="0.35">
      <c r="A135" s="4" t="s">
        <v>267</v>
      </c>
      <c r="B135" s="6">
        <v>45573</v>
      </c>
      <c r="C135" s="4" t="s">
        <v>233</v>
      </c>
      <c r="D135" s="4" t="s">
        <v>234</v>
      </c>
      <c r="E135" s="4" t="s">
        <v>46</v>
      </c>
      <c r="F135" s="4" t="s">
        <v>47</v>
      </c>
      <c r="G135" s="4" t="s">
        <v>48</v>
      </c>
      <c r="H135" s="7">
        <v>3</v>
      </c>
      <c r="I135" s="7">
        <v>149.99</v>
      </c>
      <c r="J135" s="4" t="s">
        <v>28</v>
      </c>
      <c r="K135" s="4" t="s">
        <v>37</v>
      </c>
      <c r="L135" s="4" t="s">
        <v>38</v>
      </c>
      <c r="M135" s="6">
        <v>44940</v>
      </c>
      <c r="N135" s="7">
        <f t="shared" si="4"/>
        <v>449.97</v>
      </c>
      <c r="O135" s="4"/>
      <c r="P135" s="4"/>
      <c r="Q135" s="4">
        <f t="shared" si="5"/>
        <v>35</v>
      </c>
      <c r="R135" s="4"/>
      <c r="S135" s="4" t="str">
        <v>Carol Evans</v>
      </c>
      <c r="T135" s="4"/>
      <c r="U135" s="4"/>
      <c r="V135" s="4"/>
      <c r="W135" s="4"/>
      <c r="X135" s="4"/>
      <c r="Y135" s="4"/>
      <c r="Z135" s="4"/>
    </row>
    <row r="136" spans="1:26" ht="43.8" thickBot="1" x14ac:dyDescent="0.35">
      <c r="A136" s="4" t="s">
        <v>284</v>
      </c>
      <c r="B136" s="6">
        <v>45607</v>
      </c>
      <c r="C136" s="4" t="s">
        <v>74</v>
      </c>
      <c r="D136" s="4" t="s">
        <v>75</v>
      </c>
      <c r="E136" s="4" t="s">
        <v>54</v>
      </c>
      <c r="F136" s="4" t="s">
        <v>55</v>
      </c>
      <c r="G136" s="4" t="s">
        <v>21</v>
      </c>
      <c r="H136" s="7">
        <v>3</v>
      </c>
      <c r="I136" s="7">
        <v>149.99</v>
      </c>
      <c r="J136" s="4" t="s">
        <v>22</v>
      </c>
      <c r="K136" s="4" t="s">
        <v>42</v>
      </c>
      <c r="L136" s="4" t="s">
        <v>24</v>
      </c>
      <c r="M136" s="6">
        <v>44769</v>
      </c>
      <c r="N136" s="7">
        <f t="shared" si="4"/>
        <v>449.97</v>
      </c>
      <c r="O136" s="4"/>
      <c r="P136" s="4"/>
      <c r="Q136" s="4">
        <f t="shared" si="5"/>
        <v>16</v>
      </c>
      <c r="R136" s="4"/>
      <c r="S136" s="4" t="str">
        <v>Peter Richardson</v>
      </c>
      <c r="T136" s="4"/>
      <c r="U136" s="4"/>
      <c r="V136" s="4"/>
      <c r="W136" s="4"/>
      <c r="X136" s="4"/>
      <c r="Y136" s="4"/>
      <c r="Z136" s="4"/>
    </row>
    <row r="137" spans="1:26" ht="29.4" thickBot="1" x14ac:dyDescent="0.35">
      <c r="A137" s="4" t="s">
        <v>318</v>
      </c>
      <c r="B137" s="6">
        <v>45648</v>
      </c>
      <c r="C137" s="4" t="s">
        <v>184</v>
      </c>
      <c r="D137" s="4" t="s">
        <v>185</v>
      </c>
      <c r="E137" s="4" t="s">
        <v>46</v>
      </c>
      <c r="F137" s="4" t="s">
        <v>47</v>
      </c>
      <c r="G137" s="4" t="s">
        <v>48</v>
      </c>
      <c r="H137" s="7">
        <v>3</v>
      </c>
      <c r="I137" s="7">
        <v>149.99</v>
      </c>
      <c r="J137" s="4" t="s">
        <v>59</v>
      </c>
      <c r="K137" s="4" t="s">
        <v>42</v>
      </c>
      <c r="L137" s="4" t="s">
        <v>38</v>
      </c>
      <c r="M137" s="6">
        <v>44522</v>
      </c>
      <c r="N137" s="7">
        <f t="shared" si="4"/>
        <v>449.97</v>
      </c>
      <c r="O137" s="4"/>
      <c r="P137" s="4"/>
      <c r="Q137" s="4">
        <f t="shared" si="5"/>
        <v>35</v>
      </c>
      <c r="R137" s="4"/>
      <c r="S137" s="4" t="str">
        <v>David Martinez</v>
      </c>
      <c r="T137" s="4"/>
      <c r="U137" s="4"/>
      <c r="V137" s="4"/>
      <c r="W137" s="4"/>
      <c r="X137" s="4"/>
      <c r="Y137" s="4"/>
      <c r="Z137" s="4"/>
    </row>
    <row r="138" spans="1:26" ht="29.4" thickBot="1" x14ac:dyDescent="0.35">
      <c r="A138" s="4" t="s">
        <v>343</v>
      </c>
      <c r="B138" s="6">
        <v>45673</v>
      </c>
      <c r="C138" s="4" t="s">
        <v>61</v>
      </c>
      <c r="D138" s="4" t="s">
        <v>62</v>
      </c>
      <c r="E138" s="4" t="s">
        <v>46</v>
      </c>
      <c r="F138" s="4" t="s">
        <v>47</v>
      </c>
      <c r="G138" s="4" t="s">
        <v>48</v>
      </c>
      <c r="H138" s="7">
        <v>3</v>
      </c>
      <c r="I138" s="7">
        <v>149.99</v>
      </c>
      <c r="J138" s="4" t="s">
        <v>28</v>
      </c>
      <c r="K138" s="4" t="s">
        <v>65</v>
      </c>
      <c r="L138" s="4" t="s">
        <v>38</v>
      </c>
      <c r="M138" s="6">
        <v>44395</v>
      </c>
      <c r="N138" s="7">
        <f t="shared" si="4"/>
        <v>449.97</v>
      </c>
      <c r="O138" s="4"/>
      <c r="P138" s="4"/>
      <c r="Q138" s="4">
        <f t="shared" si="5"/>
        <v>35</v>
      </c>
      <c r="R138" s="4"/>
      <c r="S138" s="4" t="str">
        <v>Robert Thomas</v>
      </c>
      <c r="T138" s="4"/>
      <c r="U138" s="4"/>
      <c r="V138" s="4"/>
      <c r="W138" s="4"/>
      <c r="X138" s="4"/>
      <c r="Y138" s="4"/>
      <c r="Z138" s="4"/>
    </row>
    <row r="139" spans="1:26" ht="29.4" thickBot="1" x14ac:dyDescent="0.35">
      <c r="A139" s="4" t="s">
        <v>354</v>
      </c>
      <c r="B139" s="6">
        <v>45695</v>
      </c>
      <c r="C139" s="4" t="s">
        <v>248</v>
      </c>
      <c r="D139" s="4" t="s">
        <v>249</v>
      </c>
      <c r="E139" s="4" t="s">
        <v>46</v>
      </c>
      <c r="F139" s="4" t="s">
        <v>47</v>
      </c>
      <c r="G139" s="4" t="s">
        <v>48</v>
      </c>
      <c r="H139" s="7">
        <v>3</v>
      </c>
      <c r="I139" s="7">
        <v>149.99</v>
      </c>
      <c r="J139" s="4" t="s">
        <v>59</v>
      </c>
      <c r="K139" s="4" t="s">
        <v>42</v>
      </c>
      <c r="L139" s="4" t="s">
        <v>29</v>
      </c>
      <c r="M139" s="6">
        <v>44564</v>
      </c>
      <c r="N139" s="7">
        <f t="shared" si="4"/>
        <v>449.97</v>
      </c>
      <c r="O139" s="4"/>
      <c r="P139" s="4"/>
      <c r="Q139" s="4">
        <f t="shared" si="5"/>
        <v>35</v>
      </c>
      <c r="R139" s="4"/>
      <c r="S139" s="4" t="str">
        <v>Ruth Brooks</v>
      </c>
      <c r="T139" s="4"/>
      <c r="U139" s="4"/>
      <c r="V139" s="4"/>
      <c r="W139" s="4"/>
      <c r="X139" s="4"/>
      <c r="Y139" s="4"/>
      <c r="Z139" s="4"/>
    </row>
    <row r="140" spans="1:26" ht="29.4" thickBot="1" x14ac:dyDescent="0.35">
      <c r="A140" s="4" t="s">
        <v>362</v>
      </c>
      <c r="B140" s="6">
        <v>45707</v>
      </c>
      <c r="C140" s="4" t="s">
        <v>44</v>
      </c>
      <c r="D140" s="4" t="s">
        <v>45</v>
      </c>
      <c r="E140" s="4" t="s">
        <v>46</v>
      </c>
      <c r="F140" s="4" t="s">
        <v>47</v>
      </c>
      <c r="G140" s="4" t="s">
        <v>48</v>
      </c>
      <c r="H140" s="7">
        <v>3</v>
      </c>
      <c r="I140" s="7">
        <v>149.99</v>
      </c>
      <c r="J140" s="4" t="s">
        <v>36</v>
      </c>
      <c r="K140" s="4" t="s">
        <v>23</v>
      </c>
      <c r="L140" s="4" t="s">
        <v>38</v>
      </c>
      <c r="M140" s="6">
        <v>44633</v>
      </c>
      <c r="N140" s="7">
        <f t="shared" si="4"/>
        <v>449.97</v>
      </c>
      <c r="O140" s="4"/>
      <c r="P140" s="4"/>
      <c r="Q140" s="4">
        <f t="shared" si="5"/>
        <v>35</v>
      </c>
      <c r="R140" s="4"/>
      <c r="S140" s="4" t="str">
        <v>Michael Brown</v>
      </c>
      <c r="T140" s="4"/>
      <c r="U140" s="4"/>
      <c r="V140" s="4"/>
      <c r="W140" s="4"/>
      <c r="X140" s="4"/>
      <c r="Y140" s="4"/>
      <c r="Z140" s="4"/>
    </row>
    <row r="141" spans="1:26" ht="29.4" thickBot="1" x14ac:dyDescent="0.35">
      <c r="A141" s="4" t="s">
        <v>392</v>
      </c>
      <c r="B141" s="6">
        <v>45746</v>
      </c>
      <c r="C141" s="4" t="s">
        <v>95</v>
      </c>
      <c r="D141" s="4" t="s">
        <v>96</v>
      </c>
      <c r="E141" s="4" t="s">
        <v>46</v>
      </c>
      <c r="F141" s="4" t="s">
        <v>47</v>
      </c>
      <c r="G141" s="4" t="s">
        <v>48</v>
      </c>
      <c r="H141" s="7">
        <v>3</v>
      </c>
      <c r="I141" s="7">
        <v>149.99</v>
      </c>
      <c r="J141" s="4" t="s">
        <v>36</v>
      </c>
      <c r="K141" s="4" t="s">
        <v>23</v>
      </c>
      <c r="L141" s="4" t="s">
        <v>38</v>
      </c>
      <c r="M141" s="6">
        <v>45171</v>
      </c>
      <c r="N141" s="7">
        <f t="shared" si="4"/>
        <v>449.97</v>
      </c>
      <c r="O141" s="4"/>
      <c r="P141" s="4"/>
      <c r="Q141" s="4">
        <f t="shared" si="5"/>
        <v>35</v>
      </c>
      <c r="R141" s="4"/>
      <c r="S141" s="4" t="str">
        <v>Virginia Sanders</v>
      </c>
      <c r="T141" s="4"/>
      <c r="U141" s="4"/>
      <c r="V141" s="4"/>
      <c r="W141" s="4"/>
      <c r="X141" s="4"/>
      <c r="Y141" s="4"/>
      <c r="Z141" s="4"/>
    </row>
    <row r="142" spans="1:26" ht="29.4" thickBot="1" x14ac:dyDescent="0.35">
      <c r="A142" s="4" t="s">
        <v>118</v>
      </c>
      <c r="B142" s="6">
        <v>45424</v>
      </c>
      <c r="C142" s="4" t="s">
        <v>101</v>
      </c>
      <c r="D142" s="4" t="s">
        <v>102</v>
      </c>
      <c r="E142" s="4" t="s">
        <v>119</v>
      </c>
      <c r="F142" s="4" t="s">
        <v>120</v>
      </c>
      <c r="G142" s="4" t="s">
        <v>21</v>
      </c>
      <c r="H142" s="7">
        <v>5</v>
      </c>
      <c r="I142" s="7">
        <v>89.99</v>
      </c>
      <c r="J142" s="4" t="s">
        <v>22</v>
      </c>
      <c r="K142" s="4" t="s">
        <v>42</v>
      </c>
      <c r="L142" s="4" t="s">
        <v>29</v>
      </c>
      <c r="M142" s="6">
        <v>44919</v>
      </c>
      <c r="N142" s="7">
        <f t="shared" si="4"/>
        <v>449.95</v>
      </c>
      <c r="O142" s="4"/>
      <c r="P142" s="4"/>
      <c r="Q142" s="4">
        <f t="shared" si="5"/>
        <v>34</v>
      </c>
      <c r="R142" s="4"/>
      <c r="S142" s="4" t="str">
        <v>Patricia Moore</v>
      </c>
      <c r="T142" s="4"/>
      <c r="U142" s="4"/>
      <c r="V142" s="4"/>
      <c r="W142" s="4"/>
      <c r="X142" s="4"/>
      <c r="Y142" s="4"/>
      <c r="Z142" s="4"/>
    </row>
    <row r="143" spans="1:26" ht="29.4" thickBot="1" x14ac:dyDescent="0.35">
      <c r="A143" s="4" t="s">
        <v>155</v>
      </c>
      <c r="B143" s="6">
        <v>45446</v>
      </c>
      <c r="C143" s="4" t="s">
        <v>156</v>
      </c>
      <c r="D143" s="4" t="s">
        <v>157</v>
      </c>
      <c r="E143" s="4" t="s">
        <v>119</v>
      </c>
      <c r="F143" s="4" t="s">
        <v>120</v>
      </c>
      <c r="G143" s="4" t="s">
        <v>21</v>
      </c>
      <c r="H143" s="7">
        <v>5</v>
      </c>
      <c r="I143" s="7">
        <v>89.99</v>
      </c>
      <c r="J143" s="4" t="s">
        <v>28</v>
      </c>
      <c r="K143" s="4" t="s">
        <v>65</v>
      </c>
      <c r="L143" s="4" t="s">
        <v>38</v>
      </c>
      <c r="M143" s="6">
        <v>44587</v>
      </c>
      <c r="N143" s="7">
        <f t="shared" si="4"/>
        <v>449.95</v>
      </c>
      <c r="O143" s="4"/>
      <c r="P143" s="4"/>
      <c r="Q143" s="4">
        <f t="shared" si="5"/>
        <v>34</v>
      </c>
      <c r="R143" s="4"/>
      <c r="S143" s="4" t="str">
        <v>Sarah Davis</v>
      </c>
      <c r="T143" s="4"/>
      <c r="U143" s="4"/>
      <c r="V143" s="4"/>
      <c r="W143" s="4"/>
      <c r="X143" s="4"/>
      <c r="Y143" s="4"/>
      <c r="Z143" s="4"/>
    </row>
    <row r="144" spans="1:26" ht="29.4" thickBot="1" x14ac:dyDescent="0.35">
      <c r="A144" s="4" t="s">
        <v>166</v>
      </c>
      <c r="B144" s="6">
        <v>45456</v>
      </c>
      <c r="C144" s="4" t="s">
        <v>131</v>
      </c>
      <c r="D144" s="4" t="s">
        <v>132</v>
      </c>
      <c r="E144" s="4" t="s">
        <v>119</v>
      </c>
      <c r="F144" s="4" t="s">
        <v>120</v>
      </c>
      <c r="G144" s="4" t="s">
        <v>21</v>
      </c>
      <c r="H144" s="7">
        <v>5</v>
      </c>
      <c r="I144" s="7">
        <v>89.99</v>
      </c>
      <c r="J144" s="4" t="s">
        <v>22</v>
      </c>
      <c r="K144" s="4" t="s">
        <v>23</v>
      </c>
      <c r="L144" s="4" t="s">
        <v>29</v>
      </c>
      <c r="M144" s="6">
        <v>44579</v>
      </c>
      <c r="N144" s="7">
        <f t="shared" si="4"/>
        <v>449.95</v>
      </c>
      <c r="O144" s="4"/>
      <c r="P144" s="4"/>
      <c r="Q144" s="4">
        <f t="shared" si="5"/>
        <v>34</v>
      </c>
      <c r="R144" s="4"/>
      <c r="S144" s="4" t="str">
        <v>Lisa Anderson</v>
      </c>
      <c r="T144" s="4"/>
      <c r="U144" s="4"/>
      <c r="V144" s="4"/>
      <c r="W144" s="4"/>
      <c r="X144" s="4"/>
      <c r="Y144" s="4"/>
      <c r="Z144" s="4"/>
    </row>
    <row r="145" spans="1:26" ht="29.4" thickBot="1" x14ac:dyDescent="0.35">
      <c r="A145" s="4" t="s">
        <v>190</v>
      </c>
      <c r="B145" s="6">
        <v>45481</v>
      </c>
      <c r="C145" s="4" t="s">
        <v>98</v>
      </c>
      <c r="D145" s="4" t="s">
        <v>99</v>
      </c>
      <c r="E145" s="4" t="s">
        <v>119</v>
      </c>
      <c r="F145" s="4" t="s">
        <v>120</v>
      </c>
      <c r="G145" s="4" t="s">
        <v>21</v>
      </c>
      <c r="H145" s="7">
        <v>5</v>
      </c>
      <c r="I145" s="7">
        <v>89.99</v>
      </c>
      <c r="J145" s="4" t="s">
        <v>59</v>
      </c>
      <c r="K145" s="4" t="s">
        <v>42</v>
      </c>
      <c r="L145" s="4" t="s">
        <v>29</v>
      </c>
      <c r="M145" s="6">
        <v>45161</v>
      </c>
      <c r="N145" s="7">
        <f t="shared" si="4"/>
        <v>449.95</v>
      </c>
      <c r="O145" s="4"/>
      <c r="P145" s="4"/>
      <c r="Q145" s="4">
        <f t="shared" si="5"/>
        <v>34</v>
      </c>
      <c r="R145" s="4"/>
      <c r="S145" s="4" t="str">
        <v>Barbara Young</v>
      </c>
      <c r="T145" s="4"/>
      <c r="U145" s="4"/>
      <c r="V145" s="4"/>
      <c r="W145" s="4"/>
      <c r="X145" s="4"/>
      <c r="Y145" s="4"/>
      <c r="Z145" s="4"/>
    </row>
    <row r="146" spans="1:26" ht="29.4" thickBot="1" x14ac:dyDescent="0.35">
      <c r="A146" s="4" t="s">
        <v>252</v>
      </c>
      <c r="B146" s="6">
        <v>45554</v>
      </c>
      <c r="C146" s="4" t="s">
        <v>149</v>
      </c>
      <c r="D146" s="4" t="s">
        <v>150</v>
      </c>
      <c r="E146" s="4" t="s">
        <v>119</v>
      </c>
      <c r="F146" s="4" t="s">
        <v>120</v>
      </c>
      <c r="G146" s="4" t="s">
        <v>21</v>
      </c>
      <c r="H146" s="7">
        <v>5</v>
      </c>
      <c r="I146" s="7">
        <v>89.99</v>
      </c>
      <c r="J146" s="4" t="s">
        <v>28</v>
      </c>
      <c r="K146" s="4" t="s">
        <v>65</v>
      </c>
      <c r="L146" s="4" t="s">
        <v>29</v>
      </c>
      <c r="M146" s="6">
        <v>44446</v>
      </c>
      <c r="N146" s="7">
        <f t="shared" si="4"/>
        <v>449.95</v>
      </c>
      <c r="O146" s="4"/>
      <c r="P146" s="4"/>
      <c r="Q146" s="4">
        <f t="shared" si="5"/>
        <v>34</v>
      </c>
      <c r="R146" s="4"/>
      <c r="S146" s="4" t="str">
        <v>Daniel King</v>
      </c>
      <c r="T146" s="4"/>
      <c r="U146" s="4"/>
      <c r="V146" s="4"/>
      <c r="W146" s="4"/>
      <c r="X146" s="4"/>
      <c r="Y146" s="4"/>
      <c r="Z146" s="4"/>
    </row>
    <row r="147" spans="1:26" ht="29.4" thickBot="1" x14ac:dyDescent="0.35">
      <c r="A147" s="4" t="s">
        <v>369</v>
      </c>
      <c r="B147" s="6">
        <v>45711</v>
      </c>
      <c r="C147" s="4" t="s">
        <v>213</v>
      </c>
      <c r="D147" s="4" t="s">
        <v>214</v>
      </c>
      <c r="E147" s="4" t="s">
        <v>119</v>
      </c>
      <c r="F147" s="4" t="s">
        <v>120</v>
      </c>
      <c r="G147" s="4" t="s">
        <v>21</v>
      </c>
      <c r="H147" s="7">
        <v>5</v>
      </c>
      <c r="I147" s="7">
        <v>89.99</v>
      </c>
      <c r="J147" s="4" t="s">
        <v>36</v>
      </c>
      <c r="K147" s="4" t="s">
        <v>52</v>
      </c>
      <c r="L147" s="4" t="s">
        <v>29</v>
      </c>
      <c r="M147" s="6">
        <v>45140</v>
      </c>
      <c r="N147" s="7">
        <f t="shared" si="4"/>
        <v>449.95</v>
      </c>
      <c r="O147" s="4"/>
      <c r="P147" s="4"/>
      <c r="Q147" s="4">
        <f t="shared" si="5"/>
        <v>34</v>
      </c>
      <c r="R147" s="4"/>
      <c r="S147" s="4" t="str">
        <v>Elizabeth Hall</v>
      </c>
      <c r="T147" s="4"/>
      <c r="U147" s="4"/>
      <c r="V147" s="4"/>
      <c r="W147" s="4"/>
      <c r="X147" s="4"/>
      <c r="Y147" s="4"/>
      <c r="Z147" s="4"/>
    </row>
    <row r="148" spans="1:26" ht="29.4" thickBot="1" x14ac:dyDescent="0.35">
      <c r="A148" s="4" t="s">
        <v>391</v>
      </c>
      <c r="B148" s="6">
        <v>45745</v>
      </c>
      <c r="C148" s="4" t="s">
        <v>187</v>
      </c>
      <c r="D148" s="4" t="s">
        <v>188</v>
      </c>
      <c r="E148" s="4" t="s">
        <v>119</v>
      </c>
      <c r="F148" s="4" t="s">
        <v>120</v>
      </c>
      <c r="G148" s="4" t="s">
        <v>21</v>
      </c>
      <c r="H148" s="7">
        <v>5</v>
      </c>
      <c r="I148" s="7">
        <v>89.99</v>
      </c>
      <c r="J148" s="4" t="s">
        <v>36</v>
      </c>
      <c r="K148" s="4" t="s">
        <v>37</v>
      </c>
      <c r="L148" s="4" t="s">
        <v>24</v>
      </c>
      <c r="M148" s="6">
        <v>44704</v>
      </c>
      <c r="N148" s="7">
        <f t="shared" si="4"/>
        <v>449.95</v>
      </c>
      <c r="O148" s="4"/>
      <c r="P148" s="4"/>
      <c r="Q148" s="4">
        <f t="shared" si="5"/>
        <v>34</v>
      </c>
      <c r="R148" s="4"/>
      <c r="S148" s="4" t="str">
        <v>Margaret Wright</v>
      </c>
      <c r="T148" s="4"/>
      <c r="U148" s="4"/>
      <c r="V148" s="4"/>
      <c r="W148" s="4"/>
      <c r="X148" s="4"/>
      <c r="Y148" s="4"/>
      <c r="Z148" s="4"/>
    </row>
    <row r="149" spans="1:26" ht="29.4" thickBot="1" x14ac:dyDescent="0.35">
      <c r="A149" s="4" t="s">
        <v>196</v>
      </c>
      <c r="B149" s="6">
        <v>45487</v>
      </c>
      <c r="C149" s="4" t="s">
        <v>194</v>
      </c>
      <c r="D149" s="4" t="s">
        <v>195</v>
      </c>
      <c r="E149" s="4" t="s">
        <v>128</v>
      </c>
      <c r="F149" s="4" t="s">
        <v>129</v>
      </c>
      <c r="G149" s="4" t="s">
        <v>48</v>
      </c>
      <c r="H149" s="7">
        <v>2</v>
      </c>
      <c r="I149" s="7">
        <v>199.99</v>
      </c>
      <c r="J149" s="4" t="s">
        <v>22</v>
      </c>
      <c r="K149" s="4" t="s">
        <v>42</v>
      </c>
      <c r="L149" s="4" t="s">
        <v>24</v>
      </c>
      <c r="M149" s="6">
        <v>44541</v>
      </c>
      <c r="N149" s="7">
        <f t="shared" si="4"/>
        <v>399.98</v>
      </c>
      <c r="O149" s="4"/>
      <c r="P149" s="4"/>
      <c r="Q149" s="4">
        <f t="shared" si="5"/>
        <v>15</v>
      </c>
      <c r="R149" s="4"/>
      <c r="S149" s="4" t="str">
        <v>Frank Torres</v>
      </c>
      <c r="T149" s="4"/>
      <c r="U149" s="4"/>
      <c r="V149" s="4"/>
      <c r="W149" s="4"/>
      <c r="X149" s="4"/>
      <c r="Y149" s="4"/>
      <c r="Z149" s="4"/>
    </row>
    <row r="150" spans="1:26" ht="29.4" thickBot="1" x14ac:dyDescent="0.35">
      <c r="A150" s="4" t="s">
        <v>370</v>
      </c>
      <c r="B150" s="6">
        <v>45712</v>
      </c>
      <c r="C150" s="4" t="s">
        <v>140</v>
      </c>
      <c r="D150" s="4" t="s">
        <v>141</v>
      </c>
      <c r="E150" s="4" t="s">
        <v>128</v>
      </c>
      <c r="F150" s="4" t="s">
        <v>129</v>
      </c>
      <c r="G150" s="4" t="s">
        <v>48</v>
      </c>
      <c r="H150" s="7">
        <v>2</v>
      </c>
      <c r="I150" s="7">
        <v>199.99</v>
      </c>
      <c r="J150" s="4" t="s">
        <v>22</v>
      </c>
      <c r="K150" s="4" t="s">
        <v>23</v>
      </c>
      <c r="L150" s="4" t="s">
        <v>29</v>
      </c>
      <c r="M150" s="6">
        <v>44573</v>
      </c>
      <c r="N150" s="7">
        <f t="shared" si="4"/>
        <v>399.98</v>
      </c>
      <c r="O150" s="4"/>
      <c r="P150" s="4"/>
      <c r="Q150" s="4">
        <f t="shared" si="5"/>
        <v>15</v>
      </c>
      <c r="R150" s="4"/>
      <c r="S150" s="4" t="str">
        <v>Steven Turner</v>
      </c>
      <c r="T150" s="4"/>
      <c r="U150" s="4"/>
      <c r="V150" s="4"/>
      <c r="W150" s="4"/>
      <c r="X150" s="4"/>
      <c r="Y150" s="4"/>
      <c r="Z150" s="4"/>
    </row>
    <row r="151" spans="1:26" ht="29.4" thickBot="1" x14ac:dyDescent="0.35">
      <c r="A151" s="4" t="s">
        <v>183</v>
      </c>
      <c r="B151" s="6">
        <v>45476</v>
      </c>
      <c r="C151" s="4" t="s">
        <v>184</v>
      </c>
      <c r="D151" s="4" t="s">
        <v>185</v>
      </c>
      <c r="E151" s="4" t="s">
        <v>116</v>
      </c>
      <c r="F151" s="4" t="s">
        <v>117</v>
      </c>
      <c r="G151" s="4" t="s">
        <v>35</v>
      </c>
      <c r="H151" s="7">
        <v>5</v>
      </c>
      <c r="I151" s="7">
        <v>79.989999999999995</v>
      </c>
      <c r="J151" s="4" t="s">
        <v>59</v>
      </c>
      <c r="K151" s="4" t="s">
        <v>23</v>
      </c>
      <c r="L151" s="4" t="s">
        <v>24</v>
      </c>
      <c r="M151" s="6">
        <v>44981</v>
      </c>
      <c r="N151" s="7">
        <f t="shared" si="4"/>
        <v>399.95</v>
      </c>
      <c r="O151" s="4"/>
      <c r="P151" s="4"/>
      <c r="Q151" s="4">
        <f t="shared" si="5"/>
        <v>14</v>
      </c>
      <c r="R151" s="4"/>
      <c r="S151" s="4" t="str">
        <v>David Martinez</v>
      </c>
      <c r="T151" s="4"/>
      <c r="U151" s="4"/>
      <c r="V151" s="4"/>
      <c r="W151" s="4"/>
      <c r="X151" s="4"/>
      <c r="Y151" s="4"/>
      <c r="Z151" s="4"/>
    </row>
    <row r="152" spans="1:26" ht="29.4" thickBot="1" x14ac:dyDescent="0.35">
      <c r="A152" s="4" t="s">
        <v>172</v>
      </c>
      <c r="B152" s="6">
        <v>45468</v>
      </c>
      <c r="C152" s="4" t="s">
        <v>173</v>
      </c>
      <c r="D152" s="4" t="s">
        <v>174</v>
      </c>
      <c r="E152" s="4" t="s">
        <v>119</v>
      </c>
      <c r="F152" s="4" t="s">
        <v>120</v>
      </c>
      <c r="G152" s="4" t="s">
        <v>21</v>
      </c>
      <c r="H152" s="7">
        <v>4</v>
      </c>
      <c r="I152" s="7">
        <v>89.99</v>
      </c>
      <c r="J152" s="4" t="s">
        <v>59</v>
      </c>
      <c r="K152" s="4" t="s">
        <v>37</v>
      </c>
      <c r="L152" s="4" t="s">
        <v>24</v>
      </c>
      <c r="M152" s="6">
        <v>45281</v>
      </c>
      <c r="N152" s="7">
        <f t="shared" si="4"/>
        <v>359.96</v>
      </c>
      <c r="O152" s="4"/>
      <c r="P152" s="4"/>
      <c r="Q152" s="4">
        <f t="shared" si="5"/>
        <v>34</v>
      </c>
      <c r="R152" s="4"/>
      <c r="S152" s="4" t="str">
        <v>Raymond Ross</v>
      </c>
      <c r="T152" s="4"/>
      <c r="U152" s="4"/>
      <c r="V152" s="4"/>
      <c r="W152" s="4"/>
      <c r="X152" s="4"/>
      <c r="Y152" s="4"/>
      <c r="Z152" s="4"/>
    </row>
    <row r="153" spans="1:26" ht="29.4" thickBot="1" x14ac:dyDescent="0.35">
      <c r="A153" s="4" t="s">
        <v>243</v>
      </c>
      <c r="B153" s="6">
        <v>45544</v>
      </c>
      <c r="C153" s="4" t="s">
        <v>143</v>
      </c>
      <c r="D153" s="4" t="s">
        <v>144</v>
      </c>
      <c r="E153" s="4" t="s">
        <v>116</v>
      </c>
      <c r="F153" s="4" t="s">
        <v>117</v>
      </c>
      <c r="G153" s="4" t="s">
        <v>35</v>
      </c>
      <c r="H153" s="7">
        <v>4</v>
      </c>
      <c r="I153" s="7">
        <v>79.989999999999995</v>
      </c>
      <c r="J153" s="4" t="s">
        <v>22</v>
      </c>
      <c r="K153" s="4" t="s">
        <v>42</v>
      </c>
      <c r="L153" s="4" t="s">
        <v>24</v>
      </c>
      <c r="M153" s="6">
        <v>44530</v>
      </c>
      <c r="N153" s="7">
        <f t="shared" si="4"/>
        <v>319.95999999999998</v>
      </c>
      <c r="O153" s="4"/>
      <c r="P153" s="4"/>
      <c r="Q153" s="4">
        <f t="shared" si="5"/>
        <v>14</v>
      </c>
      <c r="R153" s="4"/>
      <c r="S153" s="4" t="str">
        <v>Jennifer Taylor</v>
      </c>
      <c r="T153" s="4"/>
      <c r="U153" s="4"/>
      <c r="V153" s="4"/>
      <c r="W153" s="4"/>
      <c r="X153" s="4"/>
      <c r="Y153" s="4"/>
      <c r="Z153" s="4"/>
    </row>
    <row r="154" spans="1:26" ht="29.4" thickBot="1" x14ac:dyDescent="0.35">
      <c r="A154" s="4" t="s">
        <v>308</v>
      </c>
      <c r="B154" s="6">
        <v>45635</v>
      </c>
      <c r="C154" s="4" t="s">
        <v>143</v>
      </c>
      <c r="D154" s="4" t="s">
        <v>144</v>
      </c>
      <c r="E154" s="4" t="s">
        <v>116</v>
      </c>
      <c r="F154" s="4" t="s">
        <v>117</v>
      </c>
      <c r="G154" s="4" t="s">
        <v>35</v>
      </c>
      <c r="H154" s="7">
        <v>4</v>
      </c>
      <c r="I154" s="7">
        <v>79.989999999999995</v>
      </c>
      <c r="J154" s="4" t="s">
        <v>59</v>
      </c>
      <c r="K154" s="4" t="s">
        <v>65</v>
      </c>
      <c r="L154" s="4" t="s">
        <v>38</v>
      </c>
      <c r="M154" s="6">
        <v>44921</v>
      </c>
      <c r="N154" s="7">
        <f t="shared" si="4"/>
        <v>319.95999999999998</v>
      </c>
      <c r="O154" s="4"/>
      <c r="P154" s="4"/>
      <c r="Q154" s="4">
        <f t="shared" si="5"/>
        <v>14</v>
      </c>
      <c r="R154" s="4"/>
      <c r="S154" s="4" t="str">
        <v>Jennifer Taylor</v>
      </c>
      <c r="T154" s="4"/>
      <c r="U154" s="4"/>
      <c r="V154" s="4"/>
      <c r="W154" s="4"/>
      <c r="X154" s="4"/>
      <c r="Y154" s="4"/>
      <c r="Z154" s="4"/>
    </row>
    <row r="155" spans="1:26" ht="29.4" thickBot="1" x14ac:dyDescent="0.35">
      <c r="A155" s="4" t="s">
        <v>390</v>
      </c>
      <c r="B155" s="6">
        <v>45743</v>
      </c>
      <c r="C155" s="4" t="s">
        <v>104</v>
      </c>
      <c r="D155" s="4" t="s">
        <v>105</v>
      </c>
      <c r="E155" s="4" t="s">
        <v>116</v>
      </c>
      <c r="F155" s="4" t="s">
        <v>117</v>
      </c>
      <c r="G155" s="4" t="s">
        <v>35</v>
      </c>
      <c r="H155" s="7">
        <v>4</v>
      </c>
      <c r="I155" s="7">
        <v>79.989999999999995</v>
      </c>
      <c r="J155" s="4" t="s">
        <v>28</v>
      </c>
      <c r="K155" s="4" t="s">
        <v>23</v>
      </c>
      <c r="L155" s="4" t="s">
        <v>24</v>
      </c>
      <c r="M155" s="6">
        <v>45288</v>
      </c>
      <c r="N155" s="7">
        <f t="shared" si="4"/>
        <v>319.95999999999998</v>
      </c>
      <c r="O155" s="4"/>
      <c r="P155" s="4"/>
      <c r="Q155" s="4">
        <f t="shared" si="5"/>
        <v>14</v>
      </c>
      <c r="R155" s="4"/>
      <c r="S155" s="4" t="str">
        <v>Cynthia Price</v>
      </c>
      <c r="T155" s="4"/>
      <c r="U155" s="4"/>
      <c r="V155" s="4"/>
      <c r="W155" s="4"/>
      <c r="X155" s="4"/>
      <c r="Y155" s="4"/>
      <c r="Z155" s="4"/>
    </row>
    <row r="156" spans="1:26" ht="29.4" thickBot="1" x14ac:dyDescent="0.35">
      <c r="A156" s="4" t="s">
        <v>193</v>
      </c>
      <c r="B156" s="6">
        <v>45484</v>
      </c>
      <c r="C156" s="4" t="s">
        <v>194</v>
      </c>
      <c r="D156" s="4" t="s">
        <v>195</v>
      </c>
      <c r="E156" s="4" t="s">
        <v>107</v>
      </c>
      <c r="F156" s="4" t="s">
        <v>108</v>
      </c>
      <c r="G156" s="4" t="s">
        <v>48</v>
      </c>
      <c r="H156" s="7">
        <v>1</v>
      </c>
      <c r="I156" s="7">
        <v>299.99</v>
      </c>
      <c r="J156" s="4" t="s">
        <v>28</v>
      </c>
      <c r="K156" s="4" t="s">
        <v>42</v>
      </c>
      <c r="L156" s="4" t="s">
        <v>29</v>
      </c>
      <c r="M156" s="6">
        <v>44891</v>
      </c>
      <c r="N156" s="7">
        <f t="shared" si="4"/>
        <v>299.99</v>
      </c>
      <c r="O156" s="4"/>
      <c r="P156" s="4"/>
      <c r="Q156" s="4">
        <f t="shared" si="5"/>
        <v>26</v>
      </c>
      <c r="R156" s="4"/>
      <c r="S156" s="4" t="str">
        <v>Frank Torres</v>
      </c>
      <c r="T156" s="4"/>
      <c r="U156" s="4"/>
      <c r="V156" s="4"/>
      <c r="W156" s="4"/>
      <c r="X156" s="4"/>
      <c r="Y156" s="4"/>
      <c r="Z156" s="4"/>
    </row>
    <row r="157" spans="1:26" ht="29.4" thickBot="1" x14ac:dyDescent="0.35">
      <c r="A157" s="4" t="s">
        <v>207</v>
      </c>
      <c r="B157" s="6">
        <v>45500</v>
      </c>
      <c r="C157" s="4" t="s">
        <v>149</v>
      </c>
      <c r="D157" s="4" t="s">
        <v>150</v>
      </c>
      <c r="E157" s="4" t="s">
        <v>107</v>
      </c>
      <c r="F157" s="4" t="s">
        <v>108</v>
      </c>
      <c r="G157" s="4" t="s">
        <v>48</v>
      </c>
      <c r="H157" s="7">
        <v>1</v>
      </c>
      <c r="I157" s="7">
        <v>299.99</v>
      </c>
      <c r="J157" s="4" t="s">
        <v>22</v>
      </c>
      <c r="K157" s="4" t="s">
        <v>37</v>
      </c>
      <c r="L157" s="4" t="s">
        <v>24</v>
      </c>
      <c r="M157" s="6">
        <v>44982</v>
      </c>
      <c r="N157" s="7">
        <f t="shared" si="4"/>
        <v>299.99</v>
      </c>
      <c r="O157" s="4"/>
      <c r="P157" s="4"/>
      <c r="Q157" s="4">
        <f t="shared" si="5"/>
        <v>26</v>
      </c>
      <c r="R157" s="4"/>
      <c r="S157" s="4" t="str">
        <v>Daniel King</v>
      </c>
      <c r="T157" s="4"/>
      <c r="U157" s="4"/>
      <c r="V157" s="4"/>
      <c r="W157" s="4"/>
      <c r="X157" s="4"/>
      <c r="Y157" s="4"/>
      <c r="Z157" s="4"/>
    </row>
    <row r="158" spans="1:26" ht="29.4" thickBot="1" x14ac:dyDescent="0.35">
      <c r="A158" s="4" t="s">
        <v>337</v>
      </c>
      <c r="B158" s="6">
        <v>45670</v>
      </c>
      <c r="C158" s="4" t="s">
        <v>88</v>
      </c>
      <c r="D158" s="4" t="s">
        <v>89</v>
      </c>
      <c r="E158" s="4" t="s">
        <v>107</v>
      </c>
      <c r="F158" s="4" t="s">
        <v>108</v>
      </c>
      <c r="G158" s="4" t="s">
        <v>48</v>
      </c>
      <c r="H158" s="7">
        <v>1</v>
      </c>
      <c r="I158" s="7">
        <v>299.99</v>
      </c>
      <c r="J158" s="4" t="s">
        <v>28</v>
      </c>
      <c r="K158" s="4" t="s">
        <v>42</v>
      </c>
      <c r="L158" s="4" t="s">
        <v>24</v>
      </c>
      <c r="M158" s="6">
        <v>44436</v>
      </c>
      <c r="N158" s="7">
        <f t="shared" si="4"/>
        <v>299.99</v>
      </c>
      <c r="O158" s="4"/>
      <c r="P158" s="4"/>
      <c r="Q158" s="4">
        <f t="shared" si="5"/>
        <v>26</v>
      </c>
      <c r="R158" s="4"/>
      <c r="S158" s="4" t="str">
        <v>Mark Carter</v>
      </c>
      <c r="T158" s="4"/>
      <c r="U158" s="4"/>
      <c r="V158" s="4"/>
      <c r="W158" s="4"/>
      <c r="X158" s="4"/>
      <c r="Y158" s="4"/>
      <c r="Z158" s="4"/>
    </row>
    <row r="159" spans="1:26" ht="29.4" thickBot="1" x14ac:dyDescent="0.35">
      <c r="A159" s="4" t="s">
        <v>130</v>
      </c>
      <c r="B159" s="6">
        <v>45428</v>
      </c>
      <c r="C159" s="4" t="s">
        <v>131</v>
      </c>
      <c r="D159" s="4" t="s">
        <v>132</v>
      </c>
      <c r="E159" s="4" t="s">
        <v>46</v>
      </c>
      <c r="F159" s="4" t="s">
        <v>47</v>
      </c>
      <c r="G159" s="4" t="s">
        <v>48</v>
      </c>
      <c r="H159" s="7">
        <v>2</v>
      </c>
      <c r="I159" s="7">
        <v>149.99</v>
      </c>
      <c r="J159" s="4" t="s">
        <v>28</v>
      </c>
      <c r="K159" s="4" t="s">
        <v>52</v>
      </c>
      <c r="L159" s="4" t="s">
        <v>24</v>
      </c>
      <c r="M159" s="6">
        <v>44823</v>
      </c>
      <c r="N159" s="7">
        <f t="shared" si="4"/>
        <v>299.98</v>
      </c>
      <c r="O159" s="4"/>
      <c r="P159" s="4"/>
      <c r="Q159" s="4">
        <f t="shared" si="5"/>
        <v>35</v>
      </c>
      <c r="R159" s="4"/>
      <c r="S159" s="4" t="str">
        <v>Lisa Anderson</v>
      </c>
      <c r="T159" s="4"/>
      <c r="U159" s="4"/>
      <c r="V159" s="4"/>
      <c r="W159" s="4"/>
      <c r="X159" s="4"/>
      <c r="Y159" s="4"/>
      <c r="Z159" s="4"/>
    </row>
    <row r="160" spans="1:26" ht="29.4" thickBot="1" x14ac:dyDescent="0.35">
      <c r="A160" s="4" t="s">
        <v>162</v>
      </c>
      <c r="B160" s="6">
        <v>45450</v>
      </c>
      <c r="C160" s="4" t="s">
        <v>44</v>
      </c>
      <c r="D160" s="4" t="s">
        <v>45</v>
      </c>
      <c r="E160" s="4" t="s">
        <v>46</v>
      </c>
      <c r="F160" s="4" t="s">
        <v>47</v>
      </c>
      <c r="G160" s="4" t="s">
        <v>48</v>
      </c>
      <c r="H160" s="7">
        <v>2</v>
      </c>
      <c r="I160" s="7">
        <v>149.99</v>
      </c>
      <c r="J160" s="4" t="s">
        <v>22</v>
      </c>
      <c r="K160" s="4" t="s">
        <v>65</v>
      </c>
      <c r="L160" s="4" t="s">
        <v>29</v>
      </c>
      <c r="M160" s="6">
        <v>44645</v>
      </c>
      <c r="N160" s="7">
        <f t="shared" si="4"/>
        <v>299.98</v>
      </c>
      <c r="O160" s="4"/>
      <c r="P160" s="4"/>
      <c r="Q160" s="4">
        <f t="shared" si="5"/>
        <v>35</v>
      </c>
      <c r="R160" s="4"/>
      <c r="S160" s="4" t="str">
        <v>Michael Brown</v>
      </c>
      <c r="T160" s="4"/>
      <c r="U160" s="4"/>
      <c r="V160" s="4"/>
      <c r="W160" s="4"/>
      <c r="X160" s="4"/>
      <c r="Y160" s="4"/>
      <c r="Z160" s="4"/>
    </row>
    <row r="161" spans="1:26" ht="29.4" thickBot="1" x14ac:dyDescent="0.35">
      <c r="A161" s="4" t="s">
        <v>212</v>
      </c>
      <c r="B161" s="6">
        <v>45509</v>
      </c>
      <c r="C161" s="4" t="s">
        <v>213</v>
      </c>
      <c r="D161" s="4" t="s">
        <v>214</v>
      </c>
      <c r="E161" s="4" t="s">
        <v>46</v>
      </c>
      <c r="F161" s="4" t="s">
        <v>47</v>
      </c>
      <c r="G161" s="4" t="s">
        <v>48</v>
      </c>
      <c r="H161" s="7">
        <v>2</v>
      </c>
      <c r="I161" s="7">
        <v>149.99</v>
      </c>
      <c r="J161" s="4" t="s">
        <v>28</v>
      </c>
      <c r="K161" s="4" t="s">
        <v>52</v>
      </c>
      <c r="L161" s="4" t="s">
        <v>24</v>
      </c>
      <c r="M161" s="6">
        <v>44542</v>
      </c>
      <c r="N161" s="7">
        <f t="shared" si="4"/>
        <v>299.98</v>
      </c>
      <c r="O161" s="4"/>
      <c r="P161" s="4"/>
      <c r="Q161" s="4">
        <f t="shared" si="5"/>
        <v>35</v>
      </c>
      <c r="R161" s="4"/>
      <c r="S161" s="4" t="str">
        <v>Elizabeth Hall</v>
      </c>
      <c r="T161" s="4"/>
      <c r="U161" s="4"/>
      <c r="V161" s="4"/>
      <c r="W161" s="4"/>
      <c r="X161" s="4"/>
      <c r="Y161" s="4"/>
      <c r="Z161" s="4"/>
    </row>
    <row r="162" spans="1:26" ht="29.4" thickBot="1" x14ac:dyDescent="0.35">
      <c r="A162" s="4" t="s">
        <v>215</v>
      </c>
      <c r="B162" s="6">
        <v>45510</v>
      </c>
      <c r="C162" s="4" t="s">
        <v>104</v>
      </c>
      <c r="D162" s="4" t="s">
        <v>105</v>
      </c>
      <c r="E162" s="4" t="s">
        <v>46</v>
      </c>
      <c r="F162" s="4" t="s">
        <v>47</v>
      </c>
      <c r="G162" s="4" t="s">
        <v>48</v>
      </c>
      <c r="H162" s="7">
        <v>2</v>
      </c>
      <c r="I162" s="7">
        <v>149.99</v>
      </c>
      <c r="J162" s="4" t="s">
        <v>59</v>
      </c>
      <c r="K162" s="4" t="s">
        <v>65</v>
      </c>
      <c r="L162" s="4" t="s">
        <v>38</v>
      </c>
      <c r="M162" s="6">
        <v>44667</v>
      </c>
      <c r="N162" s="7">
        <f t="shared" si="4"/>
        <v>299.98</v>
      </c>
      <c r="O162" s="4"/>
      <c r="P162" s="4"/>
      <c r="Q162" s="4">
        <f t="shared" si="5"/>
        <v>35</v>
      </c>
      <c r="R162" s="4"/>
      <c r="S162" s="4" t="str">
        <v>Cynthia Price</v>
      </c>
      <c r="T162" s="4"/>
      <c r="U162" s="4"/>
      <c r="V162" s="4"/>
      <c r="W162" s="4"/>
      <c r="X162" s="4"/>
      <c r="Y162" s="4"/>
      <c r="Z162" s="4"/>
    </row>
    <row r="163" spans="1:26" ht="29.4" thickBot="1" x14ac:dyDescent="0.35">
      <c r="A163" s="4" t="s">
        <v>273</v>
      </c>
      <c r="B163" s="6">
        <v>45583</v>
      </c>
      <c r="C163" s="4" t="s">
        <v>228</v>
      </c>
      <c r="D163" s="4" t="s">
        <v>229</v>
      </c>
      <c r="E163" s="4" t="s">
        <v>54</v>
      </c>
      <c r="F163" s="4" t="s">
        <v>55</v>
      </c>
      <c r="G163" s="4" t="s">
        <v>21</v>
      </c>
      <c r="H163" s="7">
        <v>2</v>
      </c>
      <c r="I163" s="7">
        <v>149.99</v>
      </c>
      <c r="J163" s="4" t="s">
        <v>28</v>
      </c>
      <c r="K163" s="4" t="s">
        <v>52</v>
      </c>
      <c r="L163" s="4" t="s">
        <v>24</v>
      </c>
      <c r="M163" s="6">
        <v>44916</v>
      </c>
      <c r="N163" s="7">
        <f t="shared" si="4"/>
        <v>299.98</v>
      </c>
      <c r="O163" s="4"/>
      <c r="P163" s="4"/>
      <c r="Q163" s="4">
        <f t="shared" si="5"/>
        <v>16</v>
      </c>
      <c r="R163" s="4"/>
      <c r="S163" s="4" t="str">
        <v>Lawrence Reed</v>
      </c>
      <c r="T163" s="4"/>
      <c r="U163" s="4"/>
      <c r="V163" s="4"/>
      <c r="W163" s="4"/>
      <c r="X163" s="4"/>
      <c r="Y163" s="4"/>
      <c r="Z163" s="4"/>
    </row>
    <row r="164" spans="1:26" ht="29.4" thickBot="1" x14ac:dyDescent="0.35">
      <c r="A164" s="4" t="s">
        <v>275</v>
      </c>
      <c r="B164" s="6">
        <v>45588</v>
      </c>
      <c r="C164" s="4" t="s">
        <v>40</v>
      </c>
      <c r="D164" s="4" t="s">
        <v>41</v>
      </c>
      <c r="E164" s="4" t="s">
        <v>54</v>
      </c>
      <c r="F164" s="4" t="s">
        <v>55</v>
      </c>
      <c r="G164" s="4" t="s">
        <v>21</v>
      </c>
      <c r="H164" s="7">
        <v>2</v>
      </c>
      <c r="I164" s="7">
        <v>149.99</v>
      </c>
      <c r="J164" s="4" t="s">
        <v>36</v>
      </c>
      <c r="K164" s="4" t="s">
        <v>23</v>
      </c>
      <c r="L164" s="4" t="s">
        <v>24</v>
      </c>
      <c r="M164" s="6">
        <v>44473</v>
      </c>
      <c r="N164" s="7">
        <f t="shared" si="4"/>
        <v>299.98</v>
      </c>
      <c r="O164" s="4"/>
      <c r="P164" s="4"/>
      <c r="Q164" s="4">
        <f t="shared" si="5"/>
        <v>16</v>
      </c>
      <c r="R164" s="4"/>
      <c r="S164" s="4" t="str">
        <v>Kathleen Bennett</v>
      </c>
      <c r="T164" s="4"/>
      <c r="U164" s="4"/>
      <c r="V164" s="4"/>
      <c r="W164" s="4"/>
      <c r="X164" s="4"/>
      <c r="Y164" s="4"/>
      <c r="Z164" s="4"/>
    </row>
    <row r="165" spans="1:26" ht="29.4" thickBot="1" x14ac:dyDescent="0.35">
      <c r="A165" s="4" t="s">
        <v>282</v>
      </c>
      <c r="B165" s="6">
        <v>45604</v>
      </c>
      <c r="C165" s="4" t="s">
        <v>91</v>
      </c>
      <c r="D165" s="4" t="s">
        <v>92</v>
      </c>
      <c r="E165" s="4" t="s">
        <v>46</v>
      </c>
      <c r="F165" s="4" t="s">
        <v>47</v>
      </c>
      <c r="G165" s="4" t="s">
        <v>48</v>
      </c>
      <c r="H165" s="7">
        <v>2</v>
      </c>
      <c r="I165" s="7">
        <v>149.99</v>
      </c>
      <c r="J165" s="4" t="s">
        <v>28</v>
      </c>
      <c r="K165" s="4" t="s">
        <v>52</v>
      </c>
      <c r="L165" s="4" t="s">
        <v>29</v>
      </c>
      <c r="M165" s="6">
        <v>44848</v>
      </c>
      <c r="N165" s="7">
        <f t="shared" si="4"/>
        <v>299.98</v>
      </c>
      <c r="O165" s="4"/>
      <c r="P165" s="4"/>
      <c r="Q165" s="4">
        <f t="shared" si="5"/>
        <v>35</v>
      </c>
      <c r="R165" s="4"/>
      <c r="S165" s="4" t="str">
        <v>Maria Garcia</v>
      </c>
      <c r="T165" s="4"/>
      <c r="U165" s="4"/>
      <c r="V165" s="4"/>
      <c r="W165" s="4"/>
      <c r="X165" s="4"/>
      <c r="Y165" s="4"/>
      <c r="Z165" s="4"/>
    </row>
    <row r="166" spans="1:26" ht="29.4" thickBot="1" x14ac:dyDescent="0.35">
      <c r="A166" s="4" t="s">
        <v>297</v>
      </c>
      <c r="B166" s="6">
        <v>45623</v>
      </c>
      <c r="C166" s="4" t="s">
        <v>114</v>
      </c>
      <c r="D166" s="4" t="s">
        <v>115</v>
      </c>
      <c r="E166" s="4" t="s">
        <v>46</v>
      </c>
      <c r="F166" s="4" t="s">
        <v>47</v>
      </c>
      <c r="G166" s="4" t="s">
        <v>48</v>
      </c>
      <c r="H166" s="7">
        <v>2</v>
      </c>
      <c r="I166" s="7">
        <v>149.99</v>
      </c>
      <c r="J166" s="4" t="s">
        <v>22</v>
      </c>
      <c r="K166" s="4" t="s">
        <v>37</v>
      </c>
      <c r="L166" s="4" t="s">
        <v>38</v>
      </c>
      <c r="M166" s="6">
        <v>45101</v>
      </c>
      <c r="N166" s="7">
        <f t="shared" si="4"/>
        <v>299.98</v>
      </c>
      <c r="O166" s="4"/>
      <c r="P166" s="4"/>
      <c r="Q166" s="4">
        <f t="shared" si="5"/>
        <v>35</v>
      </c>
      <c r="R166" s="4"/>
      <c r="S166" s="4" t="str">
        <v>Linda Martin</v>
      </c>
      <c r="T166" s="4"/>
      <c r="U166" s="4"/>
      <c r="V166" s="4"/>
      <c r="W166" s="4"/>
      <c r="X166" s="4"/>
      <c r="Y166" s="4"/>
      <c r="Z166" s="4"/>
    </row>
    <row r="167" spans="1:26" ht="29.4" thickBot="1" x14ac:dyDescent="0.35">
      <c r="A167" s="4" t="s">
        <v>300</v>
      </c>
      <c r="B167" s="6">
        <v>45627</v>
      </c>
      <c r="C167" s="4" t="s">
        <v>26</v>
      </c>
      <c r="D167" s="4" t="s">
        <v>27</v>
      </c>
      <c r="E167" s="4" t="s">
        <v>54</v>
      </c>
      <c r="F167" s="4" t="s">
        <v>55</v>
      </c>
      <c r="G167" s="4" t="s">
        <v>21</v>
      </c>
      <c r="H167" s="7">
        <v>2</v>
      </c>
      <c r="I167" s="7">
        <v>149.99</v>
      </c>
      <c r="J167" s="4" t="s">
        <v>22</v>
      </c>
      <c r="K167" s="4" t="s">
        <v>37</v>
      </c>
      <c r="L167" s="4" t="s">
        <v>29</v>
      </c>
      <c r="M167" s="6">
        <v>44475</v>
      </c>
      <c r="N167" s="7">
        <f t="shared" si="4"/>
        <v>299.98</v>
      </c>
      <c r="O167" s="4"/>
      <c r="P167" s="4"/>
      <c r="Q167" s="4">
        <f t="shared" si="5"/>
        <v>16</v>
      </c>
      <c r="R167" s="4"/>
      <c r="S167" s="4" t="str">
        <v>Joseph Jackson</v>
      </c>
      <c r="T167" s="4"/>
      <c r="U167" s="4"/>
      <c r="V167" s="4"/>
      <c r="W167" s="4"/>
      <c r="X167" s="4"/>
      <c r="Y167" s="4"/>
      <c r="Z167" s="4"/>
    </row>
    <row r="168" spans="1:26" ht="29.4" thickBot="1" x14ac:dyDescent="0.35">
      <c r="A168" s="4" t="s">
        <v>316</v>
      </c>
      <c r="B168" s="6">
        <v>45646</v>
      </c>
      <c r="C168" s="4" t="s">
        <v>44</v>
      </c>
      <c r="D168" s="4" t="s">
        <v>45</v>
      </c>
      <c r="E168" s="4" t="s">
        <v>46</v>
      </c>
      <c r="F168" s="4" t="s">
        <v>47</v>
      </c>
      <c r="G168" s="4" t="s">
        <v>48</v>
      </c>
      <c r="H168" s="7">
        <v>2</v>
      </c>
      <c r="I168" s="7">
        <v>149.99</v>
      </c>
      <c r="J168" s="4" t="s">
        <v>22</v>
      </c>
      <c r="K168" s="4" t="s">
        <v>37</v>
      </c>
      <c r="L168" s="4" t="s">
        <v>24</v>
      </c>
      <c r="M168" s="6">
        <v>45239</v>
      </c>
      <c r="N168" s="7">
        <f t="shared" si="4"/>
        <v>299.98</v>
      </c>
      <c r="O168" s="4"/>
      <c r="P168" s="4"/>
      <c r="Q168" s="4">
        <f t="shared" si="5"/>
        <v>35</v>
      </c>
      <c r="R168" s="4"/>
      <c r="S168" s="4" t="str">
        <v>Michael Brown</v>
      </c>
      <c r="T168" s="4"/>
      <c r="U168" s="4"/>
      <c r="V168" s="4"/>
      <c r="W168" s="4"/>
      <c r="X168" s="4"/>
      <c r="Y168" s="4"/>
      <c r="Z168" s="4"/>
    </row>
    <row r="169" spans="1:26" ht="29.4" thickBot="1" x14ac:dyDescent="0.35">
      <c r="A169" s="4" t="s">
        <v>317</v>
      </c>
      <c r="B169" s="6">
        <v>45648</v>
      </c>
      <c r="C169" s="4" t="s">
        <v>114</v>
      </c>
      <c r="D169" s="4" t="s">
        <v>115</v>
      </c>
      <c r="E169" s="4" t="s">
        <v>54</v>
      </c>
      <c r="F169" s="4" t="s">
        <v>55</v>
      </c>
      <c r="G169" s="4" t="s">
        <v>21</v>
      </c>
      <c r="H169" s="7">
        <v>2</v>
      </c>
      <c r="I169" s="7">
        <v>149.99</v>
      </c>
      <c r="J169" s="4" t="s">
        <v>59</v>
      </c>
      <c r="K169" s="4" t="s">
        <v>52</v>
      </c>
      <c r="L169" s="4" t="s">
        <v>29</v>
      </c>
      <c r="M169" s="6">
        <v>45280</v>
      </c>
      <c r="N169" s="7">
        <f t="shared" si="4"/>
        <v>299.98</v>
      </c>
      <c r="O169" s="4"/>
      <c r="P169" s="4"/>
      <c r="Q169" s="4">
        <f t="shared" si="5"/>
        <v>16</v>
      </c>
      <c r="R169" s="4"/>
      <c r="S169" s="4" t="str">
        <v>Linda Martin</v>
      </c>
      <c r="T169" s="4"/>
      <c r="U169" s="4"/>
      <c r="V169" s="4"/>
      <c r="W169" s="4"/>
      <c r="X169" s="4"/>
      <c r="Y169" s="4"/>
      <c r="Z169" s="4"/>
    </row>
    <row r="170" spans="1:26" ht="29.4" thickBot="1" x14ac:dyDescent="0.35">
      <c r="A170" s="4" t="s">
        <v>339</v>
      </c>
      <c r="B170" s="6">
        <v>45671</v>
      </c>
      <c r="C170" s="4" t="s">
        <v>122</v>
      </c>
      <c r="D170" s="4" t="s">
        <v>123</v>
      </c>
      <c r="E170" s="4" t="s">
        <v>54</v>
      </c>
      <c r="F170" s="4" t="s">
        <v>55</v>
      </c>
      <c r="G170" s="4" t="s">
        <v>21</v>
      </c>
      <c r="H170" s="7">
        <v>2</v>
      </c>
      <c r="I170" s="7">
        <v>149.99</v>
      </c>
      <c r="J170" s="4" t="s">
        <v>22</v>
      </c>
      <c r="K170" s="4" t="s">
        <v>42</v>
      </c>
      <c r="L170" s="4" t="s">
        <v>38</v>
      </c>
      <c r="M170" s="6">
        <v>44913</v>
      </c>
      <c r="N170" s="7">
        <f t="shared" si="4"/>
        <v>299.98</v>
      </c>
      <c r="O170" s="4"/>
      <c r="P170" s="4"/>
      <c r="Q170" s="4">
        <f t="shared" si="5"/>
        <v>16</v>
      </c>
      <c r="R170" s="4"/>
      <c r="S170" s="4" t="str">
        <v>Helen Roberts</v>
      </c>
      <c r="T170" s="4"/>
      <c r="U170" s="4"/>
      <c r="V170" s="4"/>
      <c r="W170" s="4"/>
      <c r="X170" s="4"/>
      <c r="Y170" s="4"/>
      <c r="Z170" s="4"/>
    </row>
    <row r="171" spans="1:26" ht="29.4" thickBot="1" x14ac:dyDescent="0.35">
      <c r="A171" s="4" t="s">
        <v>360</v>
      </c>
      <c r="B171" s="6">
        <v>45705</v>
      </c>
      <c r="C171" s="4" t="s">
        <v>261</v>
      </c>
      <c r="D171" s="4" t="s">
        <v>262</v>
      </c>
      <c r="E171" s="4" t="s">
        <v>46</v>
      </c>
      <c r="F171" s="4" t="s">
        <v>47</v>
      </c>
      <c r="G171" s="4" t="s">
        <v>48</v>
      </c>
      <c r="H171" s="7">
        <v>2</v>
      </c>
      <c r="I171" s="7">
        <v>149.99</v>
      </c>
      <c r="J171" s="4" t="s">
        <v>22</v>
      </c>
      <c r="K171" s="4" t="s">
        <v>37</v>
      </c>
      <c r="L171" s="4" t="s">
        <v>29</v>
      </c>
      <c r="M171" s="6">
        <v>44728</v>
      </c>
      <c r="N171" s="7">
        <f t="shared" si="4"/>
        <v>299.98</v>
      </c>
      <c r="O171" s="4"/>
      <c r="P171" s="4"/>
      <c r="Q171" s="4">
        <f t="shared" si="5"/>
        <v>35</v>
      </c>
      <c r="R171" s="4"/>
      <c r="S171" s="4" t="str">
        <v>Richard Lee</v>
      </c>
      <c r="T171" s="4"/>
      <c r="U171" s="4"/>
      <c r="V171" s="4"/>
      <c r="W171" s="4"/>
      <c r="X171" s="4"/>
      <c r="Y171" s="4"/>
      <c r="Z171" s="4"/>
    </row>
    <row r="172" spans="1:26" ht="29.4" thickBot="1" x14ac:dyDescent="0.35">
      <c r="A172" s="4" t="s">
        <v>373</v>
      </c>
      <c r="B172" s="6">
        <v>45718</v>
      </c>
      <c r="C172" s="4" t="s">
        <v>57</v>
      </c>
      <c r="D172" s="4" t="s">
        <v>58</v>
      </c>
      <c r="E172" s="4" t="s">
        <v>46</v>
      </c>
      <c r="F172" s="4" t="s">
        <v>47</v>
      </c>
      <c r="G172" s="4" t="s">
        <v>48</v>
      </c>
      <c r="H172" s="7">
        <v>2</v>
      </c>
      <c r="I172" s="7">
        <v>149.99</v>
      </c>
      <c r="J172" s="4" t="s">
        <v>22</v>
      </c>
      <c r="K172" s="4" t="s">
        <v>23</v>
      </c>
      <c r="L172" s="4" t="s">
        <v>24</v>
      </c>
      <c r="M172" s="6">
        <v>45068</v>
      </c>
      <c r="N172" s="7">
        <f t="shared" si="4"/>
        <v>299.98</v>
      </c>
      <c r="O172" s="4"/>
      <c r="P172" s="4"/>
      <c r="Q172" s="4">
        <f t="shared" si="5"/>
        <v>35</v>
      </c>
      <c r="R172" s="4"/>
      <c r="S172" s="4" t="str">
        <v>Charles Allen</v>
      </c>
      <c r="T172" s="4"/>
      <c r="U172" s="4"/>
      <c r="V172" s="4"/>
      <c r="W172" s="4"/>
      <c r="X172" s="4"/>
      <c r="Y172" s="4"/>
      <c r="Z172" s="4"/>
    </row>
    <row r="173" spans="1:26" ht="29.4" thickBot="1" x14ac:dyDescent="0.35">
      <c r="A173" s="4" t="s">
        <v>378</v>
      </c>
      <c r="B173" s="6">
        <v>45724</v>
      </c>
      <c r="C173" s="4" t="s">
        <v>228</v>
      </c>
      <c r="D173" s="4" t="s">
        <v>229</v>
      </c>
      <c r="E173" s="4" t="s">
        <v>46</v>
      </c>
      <c r="F173" s="4" t="s">
        <v>47</v>
      </c>
      <c r="G173" s="4" t="s">
        <v>48</v>
      </c>
      <c r="H173" s="7">
        <v>2</v>
      </c>
      <c r="I173" s="7">
        <v>149.99</v>
      </c>
      <c r="J173" s="4" t="s">
        <v>36</v>
      </c>
      <c r="K173" s="4" t="s">
        <v>23</v>
      </c>
      <c r="L173" s="4" t="s">
        <v>29</v>
      </c>
      <c r="M173" s="6">
        <v>44632</v>
      </c>
      <c r="N173" s="7">
        <f t="shared" si="4"/>
        <v>299.98</v>
      </c>
      <c r="O173" s="4"/>
      <c r="P173" s="4"/>
      <c r="Q173" s="4">
        <f t="shared" si="5"/>
        <v>35</v>
      </c>
      <c r="R173" s="4"/>
      <c r="S173" s="4" t="str">
        <v>Lawrence Reed</v>
      </c>
      <c r="T173" s="4"/>
      <c r="U173" s="4"/>
      <c r="V173" s="4"/>
      <c r="W173" s="4"/>
      <c r="X173" s="4"/>
      <c r="Y173" s="4"/>
      <c r="Z173" s="4"/>
    </row>
    <row r="174" spans="1:26" ht="29.4" thickBot="1" x14ac:dyDescent="0.35">
      <c r="A174" s="4" t="s">
        <v>383</v>
      </c>
      <c r="B174" s="6">
        <v>45737</v>
      </c>
      <c r="C174" s="4" t="s">
        <v>134</v>
      </c>
      <c r="D174" s="4" t="s">
        <v>135</v>
      </c>
      <c r="E174" s="4" t="s">
        <v>46</v>
      </c>
      <c r="F174" s="4" t="s">
        <v>47</v>
      </c>
      <c r="G174" s="4" t="s">
        <v>48</v>
      </c>
      <c r="H174" s="7">
        <v>2</v>
      </c>
      <c r="I174" s="7">
        <v>149.99</v>
      </c>
      <c r="J174" s="4" t="s">
        <v>22</v>
      </c>
      <c r="K174" s="4" t="s">
        <v>52</v>
      </c>
      <c r="L174" s="4" t="s">
        <v>29</v>
      </c>
      <c r="M174" s="6">
        <v>45233</v>
      </c>
      <c r="N174" s="7">
        <f t="shared" si="4"/>
        <v>299.98</v>
      </c>
      <c r="O174" s="4"/>
      <c r="P174" s="4"/>
      <c r="Q174" s="4">
        <f t="shared" si="5"/>
        <v>35</v>
      </c>
      <c r="R174" s="4"/>
      <c r="S174" s="4" t="str">
        <v>Emma Wilson</v>
      </c>
      <c r="T174" s="4"/>
      <c r="U174" s="4"/>
      <c r="V174" s="4"/>
      <c r="W174" s="4"/>
      <c r="X174" s="4"/>
      <c r="Y174" s="4"/>
      <c r="Z174" s="4"/>
    </row>
    <row r="175" spans="1:26" ht="29.4" thickBot="1" x14ac:dyDescent="0.35">
      <c r="A175" s="4" t="s">
        <v>285</v>
      </c>
      <c r="B175" s="6">
        <v>45607</v>
      </c>
      <c r="C175" s="4" t="s">
        <v>17</v>
      </c>
      <c r="D175" s="4" t="s">
        <v>18</v>
      </c>
      <c r="E175" s="4" t="s">
        <v>33</v>
      </c>
      <c r="F175" s="4" t="s">
        <v>34</v>
      </c>
      <c r="G175" s="4" t="s">
        <v>35</v>
      </c>
      <c r="H175" s="7">
        <v>5</v>
      </c>
      <c r="I175" s="7">
        <v>59.99</v>
      </c>
      <c r="J175" s="4" t="s">
        <v>36</v>
      </c>
      <c r="K175" s="4" t="s">
        <v>52</v>
      </c>
      <c r="L175" s="4" t="s">
        <v>29</v>
      </c>
      <c r="M175" s="6">
        <v>44694</v>
      </c>
      <c r="N175" s="7">
        <f t="shared" si="4"/>
        <v>299.95</v>
      </c>
      <c r="O175" s="4"/>
      <c r="P175" s="4"/>
      <c r="Q175" s="4">
        <f t="shared" si="5"/>
        <v>29</v>
      </c>
      <c r="R175" s="4"/>
      <c r="S175" s="4" t="str">
        <v>Paul Baker</v>
      </c>
      <c r="T175" s="4"/>
      <c r="U175" s="4"/>
      <c r="V175" s="4"/>
      <c r="W175" s="4"/>
      <c r="X175" s="4"/>
      <c r="Y175" s="4"/>
      <c r="Z175" s="4"/>
    </row>
    <row r="176" spans="1:26" ht="29.4" thickBot="1" x14ac:dyDescent="0.35">
      <c r="A176" s="4" t="s">
        <v>344</v>
      </c>
      <c r="B176" s="6">
        <v>45676</v>
      </c>
      <c r="C176" s="4" t="s">
        <v>131</v>
      </c>
      <c r="D176" s="4" t="s">
        <v>132</v>
      </c>
      <c r="E176" s="4" t="s">
        <v>33</v>
      </c>
      <c r="F176" s="4" t="s">
        <v>34</v>
      </c>
      <c r="G176" s="4" t="s">
        <v>35</v>
      </c>
      <c r="H176" s="7">
        <v>5</v>
      </c>
      <c r="I176" s="7">
        <v>59.99</v>
      </c>
      <c r="J176" s="4" t="s">
        <v>59</v>
      </c>
      <c r="K176" s="4" t="s">
        <v>65</v>
      </c>
      <c r="L176" s="4" t="s">
        <v>24</v>
      </c>
      <c r="M176" s="6">
        <v>44642</v>
      </c>
      <c r="N176" s="7">
        <f t="shared" si="4"/>
        <v>299.95</v>
      </c>
      <c r="O176" s="4"/>
      <c r="P176" s="4"/>
      <c r="Q176" s="4">
        <f t="shared" si="5"/>
        <v>29</v>
      </c>
      <c r="R176" s="4"/>
      <c r="S176" s="4" t="str">
        <v>Lisa Anderson</v>
      </c>
      <c r="T176" s="4"/>
      <c r="U176" s="4"/>
      <c r="V176" s="4"/>
      <c r="W176" s="4"/>
      <c r="X176" s="4"/>
      <c r="Y176" s="4"/>
      <c r="Z176" s="4"/>
    </row>
    <row r="177" spans="1:26" ht="29.4" thickBot="1" x14ac:dyDescent="0.35">
      <c r="A177" s="4" t="s">
        <v>356</v>
      </c>
      <c r="B177" s="6">
        <v>45696</v>
      </c>
      <c r="C177" s="4" t="s">
        <v>152</v>
      </c>
      <c r="D177" s="4" t="s">
        <v>153</v>
      </c>
      <c r="E177" s="4" t="s">
        <v>33</v>
      </c>
      <c r="F177" s="4" t="s">
        <v>34</v>
      </c>
      <c r="G177" s="4" t="s">
        <v>35</v>
      </c>
      <c r="H177" s="7">
        <v>5</v>
      </c>
      <c r="I177" s="7">
        <v>59.99</v>
      </c>
      <c r="J177" s="4" t="s">
        <v>59</v>
      </c>
      <c r="K177" s="4" t="s">
        <v>23</v>
      </c>
      <c r="L177" s="4" t="s">
        <v>38</v>
      </c>
      <c r="M177" s="6">
        <v>45177</v>
      </c>
      <c r="N177" s="7">
        <f t="shared" si="4"/>
        <v>299.95</v>
      </c>
      <c r="O177" s="4"/>
      <c r="P177" s="4"/>
      <c r="Q177" s="4">
        <f t="shared" si="5"/>
        <v>29</v>
      </c>
      <c r="R177" s="4"/>
      <c r="S177" s="4" t="str">
        <v>Sharon Butler</v>
      </c>
      <c r="T177" s="4"/>
      <c r="U177" s="4"/>
      <c r="V177" s="4"/>
      <c r="W177" s="4"/>
      <c r="X177" s="4"/>
      <c r="Y177" s="4"/>
      <c r="Z177" s="4"/>
    </row>
    <row r="178" spans="1:26" ht="29.4" thickBot="1" x14ac:dyDescent="0.35">
      <c r="A178" s="4" t="s">
        <v>375</v>
      </c>
      <c r="B178" s="6">
        <v>45721</v>
      </c>
      <c r="C178" s="4" t="s">
        <v>77</v>
      </c>
      <c r="D178" s="4" t="s">
        <v>78</v>
      </c>
      <c r="E178" s="4" t="s">
        <v>33</v>
      </c>
      <c r="F178" s="4" t="s">
        <v>34</v>
      </c>
      <c r="G178" s="4" t="s">
        <v>35</v>
      </c>
      <c r="H178" s="7">
        <v>5</v>
      </c>
      <c r="I178" s="7">
        <v>59.99</v>
      </c>
      <c r="J178" s="4" t="s">
        <v>22</v>
      </c>
      <c r="K178" s="4" t="s">
        <v>52</v>
      </c>
      <c r="L178" s="4" t="s">
        <v>29</v>
      </c>
      <c r="M178" s="6">
        <v>45291</v>
      </c>
      <c r="N178" s="7">
        <f t="shared" si="4"/>
        <v>299.95</v>
      </c>
      <c r="O178" s="4"/>
      <c r="P178" s="4"/>
      <c r="Q178" s="4">
        <f t="shared" si="5"/>
        <v>29</v>
      </c>
      <c r="R178" s="4"/>
      <c r="S178" s="4" t="str">
        <v>Dennis Gray</v>
      </c>
      <c r="T178" s="4"/>
      <c r="U178" s="4"/>
      <c r="V178" s="4"/>
      <c r="W178" s="4"/>
      <c r="X178" s="4"/>
      <c r="Y178" s="4"/>
      <c r="Z178" s="4"/>
    </row>
    <row r="179" spans="1:26" ht="29.4" thickBot="1" x14ac:dyDescent="0.35">
      <c r="A179" s="4" t="s">
        <v>145</v>
      </c>
      <c r="B179" s="6">
        <v>45441</v>
      </c>
      <c r="C179" s="4" t="s">
        <v>146</v>
      </c>
      <c r="D179" s="4" t="s">
        <v>147</v>
      </c>
      <c r="E179" s="4" t="s">
        <v>119</v>
      </c>
      <c r="F179" s="4" t="s">
        <v>120</v>
      </c>
      <c r="G179" s="4" t="s">
        <v>21</v>
      </c>
      <c r="H179" s="7">
        <v>3</v>
      </c>
      <c r="I179" s="7">
        <v>89.99</v>
      </c>
      <c r="J179" s="4" t="s">
        <v>36</v>
      </c>
      <c r="K179" s="4" t="s">
        <v>23</v>
      </c>
      <c r="L179" s="4" t="s">
        <v>29</v>
      </c>
      <c r="M179" s="6">
        <v>45120</v>
      </c>
      <c r="N179" s="7">
        <f t="shared" si="4"/>
        <v>269.96999999999997</v>
      </c>
      <c r="O179" s="4"/>
      <c r="P179" s="4"/>
      <c r="Q179" s="4">
        <f t="shared" si="5"/>
        <v>34</v>
      </c>
      <c r="R179" s="4"/>
      <c r="S179" s="4" t="str">
        <v>Harry Morgan</v>
      </c>
      <c r="T179" s="4"/>
      <c r="U179" s="4"/>
      <c r="V179" s="4"/>
      <c r="W179" s="4"/>
      <c r="X179" s="4"/>
      <c r="Y179" s="4"/>
      <c r="Z179" s="4"/>
    </row>
    <row r="180" spans="1:26" ht="29.4" thickBot="1" x14ac:dyDescent="0.35">
      <c r="A180" s="4" t="s">
        <v>274</v>
      </c>
      <c r="B180" s="6">
        <v>45586</v>
      </c>
      <c r="C180" s="4" t="s">
        <v>228</v>
      </c>
      <c r="D180" s="4" t="s">
        <v>229</v>
      </c>
      <c r="E180" s="4" t="s">
        <v>119</v>
      </c>
      <c r="F180" s="4" t="s">
        <v>120</v>
      </c>
      <c r="G180" s="4" t="s">
        <v>21</v>
      </c>
      <c r="H180" s="7">
        <v>3</v>
      </c>
      <c r="I180" s="7">
        <v>89.99</v>
      </c>
      <c r="J180" s="4" t="s">
        <v>36</v>
      </c>
      <c r="K180" s="4" t="s">
        <v>23</v>
      </c>
      <c r="L180" s="4" t="s">
        <v>24</v>
      </c>
      <c r="M180" s="6">
        <v>44551</v>
      </c>
      <c r="N180" s="7">
        <f t="shared" si="4"/>
        <v>269.96999999999997</v>
      </c>
      <c r="O180" s="4"/>
      <c r="P180" s="4"/>
      <c r="Q180" s="4">
        <f t="shared" si="5"/>
        <v>34</v>
      </c>
      <c r="R180" s="4"/>
      <c r="S180" s="4" t="str">
        <v>Lawrence Reed</v>
      </c>
      <c r="T180" s="4"/>
      <c r="U180" s="4"/>
      <c r="V180" s="4"/>
      <c r="W180" s="4"/>
      <c r="X180" s="4"/>
      <c r="Y180" s="4"/>
      <c r="Z180" s="4"/>
    </row>
    <row r="181" spans="1:26" ht="29.4" thickBot="1" x14ac:dyDescent="0.35">
      <c r="A181" s="4" t="s">
        <v>278</v>
      </c>
      <c r="B181" s="6">
        <v>45592</v>
      </c>
      <c r="C181" s="4" t="s">
        <v>173</v>
      </c>
      <c r="D181" s="4" t="s">
        <v>174</v>
      </c>
      <c r="E181" s="4" t="s">
        <v>119</v>
      </c>
      <c r="F181" s="4" t="s">
        <v>120</v>
      </c>
      <c r="G181" s="4" t="s">
        <v>21</v>
      </c>
      <c r="H181" s="7">
        <v>3</v>
      </c>
      <c r="I181" s="7">
        <v>89.99</v>
      </c>
      <c r="J181" s="4" t="s">
        <v>28</v>
      </c>
      <c r="K181" s="4" t="s">
        <v>42</v>
      </c>
      <c r="L181" s="4" t="s">
        <v>38</v>
      </c>
      <c r="M181" s="6">
        <v>44615</v>
      </c>
      <c r="N181" s="7">
        <f t="shared" si="4"/>
        <v>269.96999999999997</v>
      </c>
      <c r="O181" s="4"/>
      <c r="P181" s="4"/>
      <c r="Q181" s="4">
        <f t="shared" si="5"/>
        <v>34</v>
      </c>
      <c r="R181" s="4"/>
      <c r="S181" s="4" t="str">
        <v>Raymond Ross</v>
      </c>
      <c r="T181" s="4"/>
      <c r="U181" s="4"/>
      <c r="V181" s="4"/>
      <c r="W181" s="4"/>
      <c r="X181" s="4"/>
      <c r="Y181" s="4"/>
      <c r="Z181" s="4"/>
    </row>
    <row r="182" spans="1:26" ht="29.4" thickBot="1" x14ac:dyDescent="0.35">
      <c r="A182" s="4" t="s">
        <v>281</v>
      </c>
      <c r="B182" s="6">
        <v>45603</v>
      </c>
      <c r="C182" s="4" t="s">
        <v>101</v>
      </c>
      <c r="D182" s="4" t="s">
        <v>102</v>
      </c>
      <c r="E182" s="4" t="s">
        <v>119</v>
      </c>
      <c r="F182" s="4" t="s">
        <v>120</v>
      </c>
      <c r="G182" s="4" t="s">
        <v>21</v>
      </c>
      <c r="H182" s="7">
        <v>3</v>
      </c>
      <c r="I182" s="7">
        <v>89.99</v>
      </c>
      <c r="J182" s="4" t="s">
        <v>28</v>
      </c>
      <c r="K182" s="4" t="s">
        <v>42</v>
      </c>
      <c r="L182" s="4" t="s">
        <v>29</v>
      </c>
      <c r="M182" s="6">
        <v>44420</v>
      </c>
      <c r="N182" s="7">
        <f t="shared" si="4"/>
        <v>269.96999999999997</v>
      </c>
      <c r="O182" s="4"/>
      <c r="P182" s="4"/>
      <c r="Q182" s="4">
        <f t="shared" si="5"/>
        <v>34</v>
      </c>
      <c r="R182" s="4"/>
      <c r="S182" s="4" t="str">
        <v>Patricia Moore</v>
      </c>
      <c r="T182" s="4"/>
      <c r="U182" s="4"/>
      <c r="V182" s="4"/>
      <c r="W182" s="4"/>
      <c r="X182" s="4"/>
      <c r="Y182" s="4"/>
      <c r="Z182" s="4"/>
    </row>
    <row r="183" spans="1:26" ht="29.4" thickBot="1" x14ac:dyDescent="0.35">
      <c r="A183" s="4" t="s">
        <v>352</v>
      </c>
      <c r="B183" s="6">
        <v>45688</v>
      </c>
      <c r="C183" s="4" t="s">
        <v>44</v>
      </c>
      <c r="D183" s="4" t="s">
        <v>45</v>
      </c>
      <c r="E183" s="4" t="s">
        <v>119</v>
      </c>
      <c r="F183" s="4" t="s">
        <v>120</v>
      </c>
      <c r="G183" s="4" t="s">
        <v>21</v>
      </c>
      <c r="H183" s="7">
        <v>3</v>
      </c>
      <c r="I183" s="7">
        <v>89.99</v>
      </c>
      <c r="J183" s="4" t="s">
        <v>59</v>
      </c>
      <c r="K183" s="4" t="s">
        <v>37</v>
      </c>
      <c r="L183" s="4" t="s">
        <v>29</v>
      </c>
      <c r="M183" s="6">
        <v>45307</v>
      </c>
      <c r="N183" s="7">
        <f t="shared" si="4"/>
        <v>269.96999999999997</v>
      </c>
      <c r="O183" s="4"/>
      <c r="P183" s="4"/>
      <c r="Q183" s="4">
        <f t="shared" si="5"/>
        <v>34</v>
      </c>
      <c r="R183" s="4"/>
      <c r="S183" s="4" t="str">
        <v>Michael Brown</v>
      </c>
      <c r="T183" s="4"/>
      <c r="U183" s="4"/>
      <c r="V183" s="4"/>
      <c r="W183" s="4"/>
      <c r="X183" s="4"/>
      <c r="Y183" s="4"/>
      <c r="Z183" s="4"/>
    </row>
    <row r="184" spans="1:26" ht="29.4" thickBot="1" x14ac:dyDescent="0.35">
      <c r="A184" s="4" t="s">
        <v>400</v>
      </c>
      <c r="B184" s="6">
        <v>45758</v>
      </c>
      <c r="C184" s="4" t="s">
        <v>140</v>
      </c>
      <c r="D184" s="4" t="s">
        <v>141</v>
      </c>
      <c r="E184" s="4" t="s">
        <v>119</v>
      </c>
      <c r="F184" s="4" t="s">
        <v>120</v>
      </c>
      <c r="G184" s="4" t="s">
        <v>21</v>
      </c>
      <c r="H184" s="7">
        <v>3</v>
      </c>
      <c r="I184" s="7">
        <v>89.99</v>
      </c>
      <c r="J184" s="4" t="s">
        <v>59</v>
      </c>
      <c r="K184" s="4" t="s">
        <v>42</v>
      </c>
      <c r="L184" s="4" t="s">
        <v>29</v>
      </c>
      <c r="M184" s="6">
        <v>44878</v>
      </c>
      <c r="N184" s="7">
        <f t="shared" si="4"/>
        <v>269.96999999999997</v>
      </c>
      <c r="O184" s="4"/>
      <c r="P184" s="4"/>
      <c r="Q184" s="4">
        <f t="shared" si="5"/>
        <v>34</v>
      </c>
      <c r="R184" s="4"/>
      <c r="S184" s="4" t="str">
        <v>Steven Turner</v>
      </c>
      <c r="T184" s="4"/>
      <c r="U184" s="4"/>
      <c r="V184" s="4"/>
      <c r="W184" s="4"/>
      <c r="X184" s="4"/>
      <c r="Y184" s="4"/>
      <c r="Z184" s="4"/>
    </row>
    <row r="185" spans="1:26" ht="29.4" thickBot="1" x14ac:dyDescent="0.35">
      <c r="A185" s="4" t="s">
        <v>238</v>
      </c>
      <c r="B185" s="6">
        <v>45537</v>
      </c>
      <c r="C185" s="4" t="s">
        <v>233</v>
      </c>
      <c r="D185" s="4" t="s">
        <v>234</v>
      </c>
      <c r="E185" s="4" t="s">
        <v>19</v>
      </c>
      <c r="F185" s="4" t="s">
        <v>20</v>
      </c>
      <c r="G185" s="4" t="s">
        <v>21</v>
      </c>
      <c r="H185" s="7">
        <v>1</v>
      </c>
      <c r="I185" s="7">
        <v>249.99</v>
      </c>
      <c r="J185" s="4" t="s">
        <v>28</v>
      </c>
      <c r="K185" s="4" t="s">
        <v>52</v>
      </c>
      <c r="L185" s="4" t="s">
        <v>29</v>
      </c>
      <c r="M185" s="6">
        <v>44685</v>
      </c>
      <c r="N185" s="7">
        <f t="shared" si="4"/>
        <v>249.99</v>
      </c>
      <c r="O185" s="4"/>
      <c r="P185" s="4"/>
      <c r="Q185" s="4">
        <f t="shared" si="5"/>
        <v>26</v>
      </c>
      <c r="R185" s="4"/>
      <c r="S185" s="4" t="str">
        <v>Carol Evans</v>
      </c>
      <c r="T185" s="4"/>
      <c r="U185" s="4"/>
      <c r="V185" s="4"/>
      <c r="W185" s="4"/>
      <c r="X185" s="4"/>
      <c r="Y185" s="4"/>
      <c r="Z185" s="4"/>
    </row>
    <row r="186" spans="1:26" ht="29.4" thickBot="1" x14ac:dyDescent="0.35">
      <c r="A186" s="4" t="s">
        <v>239</v>
      </c>
      <c r="B186" s="6">
        <v>45537</v>
      </c>
      <c r="C186" s="4" t="s">
        <v>17</v>
      </c>
      <c r="D186" s="4" t="s">
        <v>18</v>
      </c>
      <c r="E186" s="4" t="s">
        <v>19</v>
      </c>
      <c r="F186" s="4" t="s">
        <v>20</v>
      </c>
      <c r="G186" s="4" t="s">
        <v>21</v>
      </c>
      <c r="H186" s="7">
        <v>1</v>
      </c>
      <c r="I186" s="7">
        <v>249.99</v>
      </c>
      <c r="J186" s="4" t="s">
        <v>59</v>
      </c>
      <c r="K186" s="4" t="s">
        <v>42</v>
      </c>
      <c r="L186" s="4" t="s">
        <v>29</v>
      </c>
      <c r="M186" s="6">
        <v>45332</v>
      </c>
      <c r="N186" s="7">
        <f t="shared" si="4"/>
        <v>249.99</v>
      </c>
      <c r="O186" s="4"/>
      <c r="P186" s="4"/>
      <c r="Q186" s="4">
        <f t="shared" si="5"/>
        <v>26</v>
      </c>
      <c r="R186" s="4"/>
      <c r="S186" s="4" t="str">
        <v>Paul Baker</v>
      </c>
      <c r="T186" s="4"/>
      <c r="U186" s="4"/>
      <c r="V186" s="4"/>
      <c r="W186" s="4"/>
      <c r="X186" s="4"/>
      <c r="Y186" s="4"/>
      <c r="Z186" s="4"/>
    </row>
    <row r="187" spans="1:26" ht="29.4" thickBot="1" x14ac:dyDescent="0.35">
      <c r="A187" s="4" t="s">
        <v>283</v>
      </c>
      <c r="B187" s="6">
        <v>45605</v>
      </c>
      <c r="C187" s="4" t="s">
        <v>187</v>
      </c>
      <c r="D187" s="4" t="s">
        <v>188</v>
      </c>
      <c r="E187" s="4" t="s">
        <v>19</v>
      </c>
      <c r="F187" s="4" t="s">
        <v>20</v>
      </c>
      <c r="G187" s="4" t="s">
        <v>21</v>
      </c>
      <c r="H187" s="7">
        <v>1</v>
      </c>
      <c r="I187" s="7">
        <v>249.99</v>
      </c>
      <c r="J187" s="4" t="s">
        <v>28</v>
      </c>
      <c r="K187" s="4" t="s">
        <v>42</v>
      </c>
      <c r="L187" s="4" t="s">
        <v>29</v>
      </c>
      <c r="M187" s="6">
        <v>44828</v>
      </c>
      <c r="N187" s="7">
        <f t="shared" si="4"/>
        <v>249.99</v>
      </c>
      <c r="O187" s="4"/>
      <c r="P187" s="4"/>
      <c r="Q187" s="4">
        <f t="shared" si="5"/>
        <v>26</v>
      </c>
      <c r="R187" s="4"/>
      <c r="S187" s="4" t="str">
        <v>Margaret Wright</v>
      </c>
      <c r="T187" s="4"/>
      <c r="U187" s="4"/>
      <c r="V187" s="4"/>
      <c r="W187" s="4"/>
      <c r="X187" s="4"/>
      <c r="Y187" s="4"/>
      <c r="Z187" s="4"/>
    </row>
    <row r="188" spans="1:26" ht="29.4" thickBot="1" x14ac:dyDescent="0.35">
      <c r="A188" s="4" t="s">
        <v>381</v>
      </c>
      <c r="B188" s="6">
        <v>45726</v>
      </c>
      <c r="C188" s="4" t="s">
        <v>146</v>
      </c>
      <c r="D188" s="4" t="s">
        <v>147</v>
      </c>
      <c r="E188" s="4" t="s">
        <v>19</v>
      </c>
      <c r="F188" s="4" t="s">
        <v>20</v>
      </c>
      <c r="G188" s="4" t="s">
        <v>21</v>
      </c>
      <c r="H188" s="7">
        <v>1</v>
      </c>
      <c r="I188" s="7">
        <v>249.99</v>
      </c>
      <c r="J188" s="4" t="s">
        <v>22</v>
      </c>
      <c r="K188" s="4" t="s">
        <v>42</v>
      </c>
      <c r="L188" s="4" t="s">
        <v>38</v>
      </c>
      <c r="M188" s="6">
        <v>45117</v>
      </c>
      <c r="N188" s="7">
        <f t="shared" si="4"/>
        <v>249.99</v>
      </c>
      <c r="O188" s="4"/>
      <c r="P188" s="4"/>
      <c r="Q188" s="4">
        <f t="shared" si="5"/>
        <v>26</v>
      </c>
      <c r="R188" s="4"/>
      <c r="S188" s="4" t="str">
        <v>Harry Morgan</v>
      </c>
      <c r="T188" s="4"/>
      <c r="U188" s="4"/>
      <c r="V188" s="4"/>
      <c r="W188" s="4"/>
      <c r="X188" s="4"/>
      <c r="Y188" s="4"/>
      <c r="Z188" s="4"/>
    </row>
    <row r="189" spans="1:26" ht="29.4" thickBot="1" x14ac:dyDescent="0.35">
      <c r="A189" s="4" t="s">
        <v>113</v>
      </c>
      <c r="B189" s="6">
        <v>45424</v>
      </c>
      <c r="C189" s="4" t="s">
        <v>114</v>
      </c>
      <c r="D189" s="4" t="s">
        <v>115</v>
      </c>
      <c r="E189" s="4" t="s">
        <v>116</v>
      </c>
      <c r="F189" s="4" t="s">
        <v>117</v>
      </c>
      <c r="G189" s="4" t="s">
        <v>35</v>
      </c>
      <c r="H189" s="7">
        <v>3</v>
      </c>
      <c r="I189" s="7">
        <v>79.989999999999995</v>
      </c>
      <c r="J189" s="4" t="s">
        <v>36</v>
      </c>
      <c r="K189" s="4" t="s">
        <v>65</v>
      </c>
      <c r="L189" s="4" t="s">
        <v>29</v>
      </c>
      <c r="M189" s="6">
        <v>45012</v>
      </c>
      <c r="N189" s="7">
        <f t="shared" si="4"/>
        <v>239.96999999999997</v>
      </c>
      <c r="O189" s="4"/>
      <c r="P189" s="4"/>
      <c r="Q189" s="4">
        <f t="shared" si="5"/>
        <v>14</v>
      </c>
      <c r="R189" s="4"/>
      <c r="S189" s="4" t="str">
        <v>Linda Martin</v>
      </c>
      <c r="T189" s="4"/>
      <c r="U189" s="4"/>
      <c r="V189" s="4"/>
      <c r="W189" s="4"/>
      <c r="X189" s="4"/>
      <c r="Y189" s="4"/>
      <c r="Z189" s="4"/>
    </row>
    <row r="190" spans="1:26" ht="29.4" thickBot="1" x14ac:dyDescent="0.35">
      <c r="A190" s="4" t="s">
        <v>138</v>
      </c>
      <c r="B190" s="6">
        <v>45435</v>
      </c>
      <c r="C190" s="4" t="s">
        <v>131</v>
      </c>
      <c r="D190" s="4" t="s">
        <v>132</v>
      </c>
      <c r="E190" s="4" t="s">
        <v>116</v>
      </c>
      <c r="F190" s="4" t="s">
        <v>117</v>
      </c>
      <c r="G190" s="4" t="s">
        <v>35</v>
      </c>
      <c r="H190" s="7">
        <v>3</v>
      </c>
      <c r="I190" s="7">
        <v>79.989999999999995</v>
      </c>
      <c r="J190" s="4" t="s">
        <v>22</v>
      </c>
      <c r="K190" s="4" t="s">
        <v>37</v>
      </c>
      <c r="L190" s="4" t="s">
        <v>24</v>
      </c>
      <c r="M190" s="6">
        <v>45046</v>
      </c>
      <c r="N190" s="7">
        <f t="shared" si="4"/>
        <v>239.96999999999997</v>
      </c>
      <c r="O190" s="4"/>
      <c r="P190" s="4"/>
      <c r="Q190" s="4">
        <f t="shared" si="5"/>
        <v>14</v>
      </c>
      <c r="R190" s="4"/>
      <c r="S190" s="4" t="str">
        <v>Lisa Anderson</v>
      </c>
      <c r="T190" s="4"/>
      <c r="U190" s="4"/>
      <c r="V190" s="4"/>
      <c r="W190" s="4"/>
      <c r="X190" s="4"/>
      <c r="Y190" s="4"/>
      <c r="Z190" s="4"/>
    </row>
    <row r="191" spans="1:26" ht="29.4" thickBot="1" x14ac:dyDescent="0.35">
      <c r="A191" s="4" t="s">
        <v>227</v>
      </c>
      <c r="B191" s="6">
        <v>45528</v>
      </c>
      <c r="C191" s="4" t="s">
        <v>228</v>
      </c>
      <c r="D191" s="4" t="s">
        <v>229</v>
      </c>
      <c r="E191" s="4" t="s">
        <v>116</v>
      </c>
      <c r="F191" s="4" t="s">
        <v>117</v>
      </c>
      <c r="G191" s="4" t="s">
        <v>35</v>
      </c>
      <c r="H191" s="7">
        <v>3</v>
      </c>
      <c r="I191" s="7">
        <v>79.989999999999995</v>
      </c>
      <c r="J191" s="4" t="s">
        <v>22</v>
      </c>
      <c r="K191" s="4" t="s">
        <v>23</v>
      </c>
      <c r="L191" s="4" t="s">
        <v>29</v>
      </c>
      <c r="M191" s="6">
        <v>44779</v>
      </c>
      <c r="N191" s="7">
        <f t="shared" si="4"/>
        <v>239.96999999999997</v>
      </c>
      <c r="O191" s="4"/>
      <c r="P191" s="4"/>
      <c r="Q191" s="4">
        <f t="shared" si="5"/>
        <v>14</v>
      </c>
      <c r="R191" s="4"/>
      <c r="S191" s="4" t="str">
        <v>Lawrence Reed</v>
      </c>
      <c r="T191" s="4"/>
      <c r="U191" s="4"/>
      <c r="V191" s="4"/>
      <c r="W191" s="4"/>
      <c r="X191" s="4"/>
      <c r="Y191" s="4"/>
      <c r="Z191" s="4"/>
    </row>
    <row r="192" spans="1:26" ht="29.4" thickBot="1" x14ac:dyDescent="0.35">
      <c r="A192" s="4" t="s">
        <v>309</v>
      </c>
      <c r="B192" s="6">
        <v>45636</v>
      </c>
      <c r="C192" s="4" t="s">
        <v>122</v>
      </c>
      <c r="D192" s="4" t="s">
        <v>123</v>
      </c>
      <c r="E192" s="4" t="s">
        <v>116</v>
      </c>
      <c r="F192" s="4" t="s">
        <v>117</v>
      </c>
      <c r="G192" s="4" t="s">
        <v>35</v>
      </c>
      <c r="H192" s="7">
        <v>3</v>
      </c>
      <c r="I192" s="7">
        <v>79.989999999999995</v>
      </c>
      <c r="J192" s="4" t="s">
        <v>59</v>
      </c>
      <c r="K192" s="4" t="s">
        <v>65</v>
      </c>
      <c r="L192" s="4" t="s">
        <v>38</v>
      </c>
      <c r="M192" s="6">
        <v>44779</v>
      </c>
      <c r="N192" s="7">
        <f t="shared" si="4"/>
        <v>239.96999999999997</v>
      </c>
      <c r="O192" s="4"/>
      <c r="P192" s="4"/>
      <c r="Q192" s="4">
        <f t="shared" si="5"/>
        <v>14</v>
      </c>
      <c r="R192" s="4"/>
      <c r="S192" s="4" t="str">
        <v>Helen Roberts</v>
      </c>
      <c r="T192" s="4"/>
      <c r="U192" s="4"/>
      <c r="V192" s="4"/>
      <c r="W192" s="4"/>
      <c r="X192" s="4"/>
      <c r="Y192" s="4"/>
      <c r="Z192" s="4"/>
    </row>
    <row r="193" spans="1:26" ht="29.4" thickBot="1" x14ac:dyDescent="0.35">
      <c r="A193" s="4" t="s">
        <v>357</v>
      </c>
      <c r="B193" s="6">
        <v>45701</v>
      </c>
      <c r="C193" s="4" t="s">
        <v>110</v>
      </c>
      <c r="D193" s="4" t="s">
        <v>111</v>
      </c>
      <c r="E193" s="4" t="s">
        <v>116</v>
      </c>
      <c r="F193" s="4" t="s">
        <v>117</v>
      </c>
      <c r="G193" s="4" t="s">
        <v>35</v>
      </c>
      <c r="H193" s="7">
        <v>3</v>
      </c>
      <c r="I193" s="7">
        <v>79.989999999999995</v>
      </c>
      <c r="J193" s="4" t="s">
        <v>22</v>
      </c>
      <c r="K193" s="4" t="s">
        <v>65</v>
      </c>
      <c r="L193" s="4" t="s">
        <v>29</v>
      </c>
      <c r="M193" s="6">
        <v>44436</v>
      </c>
      <c r="N193" s="7">
        <f t="shared" ref="N193:N250" si="6">H193*I193</f>
        <v>239.96999999999997</v>
      </c>
      <c r="O193" s="4"/>
      <c r="P193" s="4"/>
      <c r="Q193" s="4">
        <f t="shared" si="5"/>
        <v>14</v>
      </c>
      <c r="R193" s="4"/>
      <c r="S193" s="4" t="str">
        <v>Nancy Collins</v>
      </c>
      <c r="T193" s="4"/>
      <c r="U193" s="4"/>
      <c r="V193" s="4"/>
      <c r="W193" s="4"/>
      <c r="X193" s="4"/>
      <c r="Y193" s="4"/>
      <c r="Z193" s="4"/>
    </row>
    <row r="194" spans="1:26" ht="29.4" thickBot="1" x14ac:dyDescent="0.35">
      <c r="A194" s="4" t="s">
        <v>396</v>
      </c>
      <c r="B194" s="6">
        <v>45755</v>
      </c>
      <c r="C194" s="4" t="s">
        <v>95</v>
      </c>
      <c r="D194" s="4" t="s">
        <v>96</v>
      </c>
      <c r="E194" s="4" t="s">
        <v>116</v>
      </c>
      <c r="F194" s="4" t="s">
        <v>117</v>
      </c>
      <c r="G194" s="4" t="s">
        <v>35</v>
      </c>
      <c r="H194" s="7">
        <v>3</v>
      </c>
      <c r="I194" s="7">
        <v>79.989999999999995</v>
      </c>
      <c r="J194" s="4" t="s">
        <v>28</v>
      </c>
      <c r="K194" s="4" t="s">
        <v>42</v>
      </c>
      <c r="L194" s="4" t="s">
        <v>24</v>
      </c>
      <c r="M194" s="6">
        <v>44511</v>
      </c>
      <c r="N194" s="7">
        <f t="shared" si="6"/>
        <v>239.96999999999997</v>
      </c>
      <c r="O194" s="4"/>
      <c r="P194" s="4"/>
      <c r="Q194" s="4">
        <f t="shared" si="5"/>
        <v>14</v>
      </c>
      <c r="R194" s="4"/>
      <c r="S194" s="4" t="str">
        <v>Virginia Sanders</v>
      </c>
      <c r="T194" s="4"/>
      <c r="U194" s="4"/>
      <c r="V194" s="4"/>
      <c r="W194" s="4"/>
      <c r="X194" s="4"/>
      <c r="Y194" s="4"/>
      <c r="Z194" s="4"/>
    </row>
    <row r="195" spans="1:26" ht="29.4" thickBot="1" x14ac:dyDescent="0.35">
      <c r="A195" s="4" t="s">
        <v>124</v>
      </c>
      <c r="B195" s="6">
        <v>45427</v>
      </c>
      <c r="C195" s="4" t="s">
        <v>125</v>
      </c>
      <c r="D195" s="4" t="s">
        <v>126</v>
      </c>
      <c r="E195" s="4" t="s">
        <v>33</v>
      </c>
      <c r="F195" s="4" t="s">
        <v>34</v>
      </c>
      <c r="G195" s="4" t="s">
        <v>35</v>
      </c>
      <c r="H195" s="7">
        <v>4</v>
      </c>
      <c r="I195" s="7">
        <v>59.99</v>
      </c>
      <c r="J195" s="4" t="s">
        <v>59</v>
      </c>
      <c r="K195" s="4" t="s">
        <v>65</v>
      </c>
      <c r="L195" s="4" t="s">
        <v>38</v>
      </c>
      <c r="M195" s="6">
        <v>44867</v>
      </c>
      <c r="N195" s="7">
        <f t="shared" si="6"/>
        <v>239.96</v>
      </c>
      <c r="O195" s="4"/>
      <c r="P195" s="4"/>
      <c r="Q195" s="4">
        <f t="shared" ref="Q195:Q258" si="7">COUNTIF(F:F,F195)</f>
        <v>29</v>
      </c>
      <c r="R195" s="4"/>
      <c r="S195" s="4" t="str">
        <v>Edward Mitchell</v>
      </c>
      <c r="T195" s="4"/>
      <c r="U195" s="4"/>
      <c r="V195" s="4"/>
      <c r="W195" s="4"/>
      <c r="X195" s="4"/>
      <c r="Y195" s="4"/>
      <c r="Z195" s="4"/>
    </row>
    <row r="196" spans="1:26" ht="29.4" thickBot="1" x14ac:dyDescent="0.35">
      <c r="A196" s="4" t="s">
        <v>163</v>
      </c>
      <c r="B196" s="6">
        <v>45452</v>
      </c>
      <c r="C196" s="4" t="s">
        <v>164</v>
      </c>
      <c r="D196" s="4" t="s">
        <v>165</v>
      </c>
      <c r="E196" s="4" t="s">
        <v>33</v>
      </c>
      <c r="F196" s="4" t="s">
        <v>34</v>
      </c>
      <c r="G196" s="4" t="s">
        <v>35</v>
      </c>
      <c r="H196" s="7">
        <v>4</v>
      </c>
      <c r="I196" s="7">
        <v>59.99</v>
      </c>
      <c r="J196" s="4" t="s">
        <v>22</v>
      </c>
      <c r="K196" s="4" t="s">
        <v>65</v>
      </c>
      <c r="L196" s="4" t="s">
        <v>38</v>
      </c>
      <c r="M196" s="6">
        <v>44435</v>
      </c>
      <c r="N196" s="7">
        <f t="shared" si="6"/>
        <v>239.96</v>
      </c>
      <c r="O196" s="4"/>
      <c r="P196" s="4"/>
      <c r="Q196" s="4">
        <f t="shared" si="7"/>
        <v>29</v>
      </c>
      <c r="R196" s="4"/>
      <c r="S196" s="4" t="str">
        <v>Julie Foster</v>
      </c>
      <c r="T196" s="4"/>
      <c r="U196" s="4"/>
      <c r="V196" s="4"/>
      <c r="W196" s="4"/>
      <c r="X196" s="4"/>
      <c r="Y196" s="4"/>
      <c r="Z196" s="4"/>
    </row>
    <row r="197" spans="1:26" ht="29.4" thickBot="1" x14ac:dyDescent="0.35">
      <c r="A197" s="4" t="s">
        <v>191</v>
      </c>
      <c r="B197" s="6">
        <v>45482</v>
      </c>
      <c r="C197" s="4" t="s">
        <v>173</v>
      </c>
      <c r="D197" s="4" t="s">
        <v>174</v>
      </c>
      <c r="E197" s="4" t="s">
        <v>33</v>
      </c>
      <c r="F197" s="4" t="s">
        <v>34</v>
      </c>
      <c r="G197" s="4" t="s">
        <v>35</v>
      </c>
      <c r="H197" s="7">
        <v>4</v>
      </c>
      <c r="I197" s="7">
        <v>59.99</v>
      </c>
      <c r="J197" s="4" t="s">
        <v>22</v>
      </c>
      <c r="K197" s="4" t="s">
        <v>37</v>
      </c>
      <c r="L197" s="4" t="s">
        <v>38</v>
      </c>
      <c r="M197" s="6">
        <v>44509</v>
      </c>
      <c r="N197" s="7">
        <f t="shared" si="6"/>
        <v>239.96</v>
      </c>
      <c r="O197" s="4"/>
      <c r="P197" s="4"/>
      <c r="Q197" s="4">
        <f t="shared" si="7"/>
        <v>29</v>
      </c>
      <c r="R197" s="4"/>
      <c r="S197" s="4" t="str">
        <v>Raymond Ross</v>
      </c>
      <c r="T197" s="4"/>
      <c r="U197" s="4"/>
      <c r="V197" s="4"/>
      <c r="W197" s="4"/>
      <c r="X197" s="4"/>
      <c r="Y197" s="4"/>
      <c r="Z197" s="4"/>
    </row>
    <row r="198" spans="1:26" ht="29.4" thickBot="1" x14ac:dyDescent="0.35">
      <c r="A198" s="4" t="s">
        <v>345</v>
      </c>
      <c r="B198" s="6">
        <v>45682</v>
      </c>
      <c r="C198" s="4" t="s">
        <v>70</v>
      </c>
      <c r="D198" s="4" t="s">
        <v>71</v>
      </c>
      <c r="E198" s="4" t="s">
        <v>33</v>
      </c>
      <c r="F198" s="4" t="s">
        <v>34</v>
      </c>
      <c r="G198" s="4" t="s">
        <v>35</v>
      </c>
      <c r="H198" s="7">
        <v>4</v>
      </c>
      <c r="I198" s="7">
        <v>59.99</v>
      </c>
      <c r="J198" s="4" t="s">
        <v>59</v>
      </c>
      <c r="K198" s="4" t="s">
        <v>65</v>
      </c>
      <c r="L198" s="4" t="s">
        <v>38</v>
      </c>
      <c r="M198" s="6">
        <v>44564</v>
      </c>
      <c r="N198" s="7">
        <f t="shared" si="6"/>
        <v>239.96</v>
      </c>
      <c r="O198" s="4"/>
      <c r="P198" s="4"/>
      <c r="Q198" s="4">
        <f t="shared" si="7"/>
        <v>29</v>
      </c>
      <c r="R198" s="4"/>
      <c r="S198" s="4" t="str">
        <v>Susan Green</v>
      </c>
      <c r="T198" s="4"/>
      <c r="U198" s="4"/>
      <c r="V198" s="4"/>
      <c r="W198" s="4"/>
      <c r="X198" s="4"/>
      <c r="Y198" s="4"/>
      <c r="Z198" s="4"/>
    </row>
    <row r="199" spans="1:26" ht="29.4" thickBot="1" x14ac:dyDescent="0.35">
      <c r="A199" s="4" t="s">
        <v>371</v>
      </c>
      <c r="B199" s="6">
        <v>45715</v>
      </c>
      <c r="C199" s="4" t="s">
        <v>261</v>
      </c>
      <c r="D199" s="4" t="s">
        <v>262</v>
      </c>
      <c r="E199" s="4" t="s">
        <v>33</v>
      </c>
      <c r="F199" s="4" t="s">
        <v>34</v>
      </c>
      <c r="G199" s="4" t="s">
        <v>35</v>
      </c>
      <c r="H199" s="7">
        <v>4</v>
      </c>
      <c r="I199" s="7">
        <v>59.99</v>
      </c>
      <c r="J199" s="4" t="s">
        <v>22</v>
      </c>
      <c r="K199" s="4" t="s">
        <v>52</v>
      </c>
      <c r="L199" s="4" t="s">
        <v>38</v>
      </c>
      <c r="M199" s="6">
        <v>45070</v>
      </c>
      <c r="N199" s="7">
        <f t="shared" si="6"/>
        <v>239.96</v>
      </c>
      <c r="O199" s="4"/>
      <c r="P199" s="4"/>
      <c r="Q199" s="4">
        <f t="shared" si="7"/>
        <v>29</v>
      </c>
      <c r="R199" s="4"/>
      <c r="S199" s="4" t="str">
        <v>Richard Lee</v>
      </c>
      <c r="T199" s="4"/>
      <c r="U199" s="4"/>
      <c r="V199" s="4"/>
      <c r="W199" s="4"/>
      <c r="X199" s="4"/>
      <c r="Y199" s="4"/>
      <c r="Z199" s="4"/>
    </row>
    <row r="200" spans="1:26" ht="29.4" thickBot="1" x14ac:dyDescent="0.35">
      <c r="A200" s="4" t="s">
        <v>260</v>
      </c>
      <c r="B200" s="6">
        <v>45564</v>
      </c>
      <c r="C200" s="4" t="s">
        <v>261</v>
      </c>
      <c r="D200" s="4" t="s">
        <v>262</v>
      </c>
      <c r="E200" s="4" t="s">
        <v>128</v>
      </c>
      <c r="F200" s="4" t="s">
        <v>129</v>
      </c>
      <c r="G200" s="4" t="s">
        <v>48</v>
      </c>
      <c r="H200" s="7">
        <v>1</v>
      </c>
      <c r="I200" s="7">
        <v>199.99</v>
      </c>
      <c r="J200" s="4" t="s">
        <v>59</v>
      </c>
      <c r="K200" s="4" t="s">
        <v>65</v>
      </c>
      <c r="L200" s="4" t="s">
        <v>38</v>
      </c>
      <c r="M200" s="6">
        <v>44953</v>
      </c>
      <c r="N200" s="7">
        <f t="shared" si="6"/>
        <v>199.99</v>
      </c>
      <c r="O200" s="4"/>
      <c r="P200" s="4"/>
      <c r="Q200" s="4">
        <f t="shared" si="7"/>
        <v>15</v>
      </c>
      <c r="R200" s="4"/>
      <c r="S200" s="4" t="str">
        <v>Richard Lee</v>
      </c>
      <c r="T200" s="4"/>
      <c r="U200" s="4"/>
      <c r="V200" s="4"/>
      <c r="W200" s="4"/>
      <c r="X200" s="4"/>
      <c r="Y200" s="4"/>
      <c r="Z200" s="4"/>
    </row>
    <row r="201" spans="1:26" ht="29.4" thickBot="1" x14ac:dyDescent="0.35">
      <c r="A201" s="4" t="s">
        <v>167</v>
      </c>
      <c r="B201" s="6">
        <v>45459</v>
      </c>
      <c r="C201" s="4" t="s">
        <v>101</v>
      </c>
      <c r="D201" s="4" t="s">
        <v>102</v>
      </c>
      <c r="E201" s="4" t="s">
        <v>119</v>
      </c>
      <c r="F201" s="4" t="s">
        <v>120</v>
      </c>
      <c r="G201" s="4" t="s">
        <v>21</v>
      </c>
      <c r="H201" s="7">
        <v>2</v>
      </c>
      <c r="I201" s="7">
        <v>89.99</v>
      </c>
      <c r="J201" s="4" t="s">
        <v>28</v>
      </c>
      <c r="K201" s="4" t="s">
        <v>37</v>
      </c>
      <c r="L201" s="4" t="s">
        <v>29</v>
      </c>
      <c r="M201" s="6">
        <v>44471</v>
      </c>
      <c r="N201" s="7">
        <f t="shared" si="6"/>
        <v>179.98</v>
      </c>
      <c r="O201" s="4"/>
      <c r="P201" s="4"/>
      <c r="Q201" s="4">
        <f t="shared" si="7"/>
        <v>34</v>
      </c>
      <c r="R201" s="4"/>
      <c r="S201" s="4" t="str">
        <v>Patricia Moore</v>
      </c>
      <c r="T201" s="4"/>
      <c r="U201" s="4"/>
      <c r="V201" s="4"/>
      <c r="W201" s="4"/>
      <c r="X201" s="4"/>
      <c r="Y201" s="4"/>
      <c r="Z201" s="4"/>
    </row>
    <row r="202" spans="1:26" ht="29.4" thickBot="1" x14ac:dyDescent="0.35">
      <c r="A202" s="4" t="s">
        <v>176</v>
      </c>
      <c r="B202" s="6">
        <v>45469</v>
      </c>
      <c r="C202" s="4" t="s">
        <v>61</v>
      </c>
      <c r="D202" s="4" t="s">
        <v>62</v>
      </c>
      <c r="E202" s="4" t="s">
        <v>119</v>
      </c>
      <c r="F202" s="4" t="s">
        <v>120</v>
      </c>
      <c r="G202" s="4" t="s">
        <v>21</v>
      </c>
      <c r="H202" s="7">
        <v>2</v>
      </c>
      <c r="I202" s="7">
        <v>89.99</v>
      </c>
      <c r="J202" s="4" t="s">
        <v>22</v>
      </c>
      <c r="K202" s="4" t="s">
        <v>52</v>
      </c>
      <c r="L202" s="4" t="s">
        <v>24</v>
      </c>
      <c r="M202" s="6">
        <v>44438</v>
      </c>
      <c r="N202" s="7">
        <f t="shared" si="6"/>
        <v>179.98</v>
      </c>
      <c r="O202" s="4"/>
      <c r="P202" s="4"/>
      <c r="Q202" s="4">
        <f t="shared" si="7"/>
        <v>34</v>
      </c>
      <c r="R202" s="4"/>
      <c r="S202" s="4" t="str">
        <v>Robert Thomas</v>
      </c>
      <c r="T202" s="4"/>
      <c r="U202" s="4"/>
      <c r="V202" s="4"/>
      <c r="W202" s="4"/>
      <c r="X202" s="4"/>
      <c r="Y202" s="4"/>
      <c r="Z202" s="4"/>
    </row>
    <row r="203" spans="1:26" ht="29.4" thickBot="1" x14ac:dyDescent="0.35">
      <c r="A203" s="4" t="s">
        <v>180</v>
      </c>
      <c r="B203" s="6">
        <v>45474</v>
      </c>
      <c r="C203" s="4" t="s">
        <v>134</v>
      </c>
      <c r="D203" s="4" t="s">
        <v>135</v>
      </c>
      <c r="E203" s="4" t="s">
        <v>119</v>
      </c>
      <c r="F203" s="4" t="s">
        <v>120</v>
      </c>
      <c r="G203" s="4" t="s">
        <v>21</v>
      </c>
      <c r="H203" s="7">
        <v>2</v>
      </c>
      <c r="I203" s="7">
        <v>89.99</v>
      </c>
      <c r="J203" s="4" t="s">
        <v>36</v>
      </c>
      <c r="K203" s="4" t="s">
        <v>23</v>
      </c>
      <c r="L203" s="4" t="s">
        <v>29</v>
      </c>
      <c r="M203" s="6">
        <v>45275</v>
      </c>
      <c r="N203" s="7">
        <f t="shared" si="6"/>
        <v>179.98</v>
      </c>
      <c r="O203" s="4"/>
      <c r="P203" s="4"/>
      <c r="Q203" s="4">
        <f t="shared" si="7"/>
        <v>34</v>
      </c>
      <c r="R203" s="4"/>
      <c r="S203" s="4" t="str">
        <v>Emma Wilson</v>
      </c>
      <c r="T203" s="4"/>
      <c r="U203" s="4"/>
      <c r="V203" s="4"/>
      <c r="W203" s="4"/>
      <c r="X203" s="4"/>
      <c r="Y203" s="4"/>
      <c r="Z203" s="4"/>
    </row>
    <row r="204" spans="1:26" ht="29.4" thickBot="1" x14ac:dyDescent="0.35">
      <c r="A204" s="4" t="s">
        <v>208</v>
      </c>
      <c r="B204" s="6">
        <v>45501</v>
      </c>
      <c r="C204" s="4" t="s">
        <v>88</v>
      </c>
      <c r="D204" s="4" t="s">
        <v>89</v>
      </c>
      <c r="E204" s="4" t="s">
        <v>119</v>
      </c>
      <c r="F204" s="4" t="s">
        <v>120</v>
      </c>
      <c r="G204" s="4" t="s">
        <v>21</v>
      </c>
      <c r="H204" s="7">
        <v>2</v>
      </c>
      <c r="I204" s="7">
        <v>89.99</v>
      </c>
      <c r="J204" s="4" t="s">
        <v>36</v>
      </c>
      <c r="K204" s="4" t="s">
        <v>37</v>
      </c>
      <c r="L204" s="4" t="s">
        <v>24</v>
      </c>
      <c r="M204" s="6">
        <v>44976</v>
      </c>
      <c r="N204" s="7">
        <f t="shared" si="6"/>
        <v>179.98</v>
      </c>
      <c r="O204" s="4"/>
      <c r="P204" s="4"/>
      <c r="Q204" s="4">
        <f t="shared" si="7"/>
        <v>34</v>
      </c>
      <c r="R204" s="4"/>
      <c r="S204" s="4" t="str">
        <v>Mark Carter</v>
      </c>
      <c r="T204" s="4"/>
      <c r="U204" s="4"/>
      <c r="V204" s="4"/>
      <c r="W204" s="4"/>
      <c r="X204" s="4"/>
      <c r="Y204" s="4"/>
      <c r="Z204" s="4"/>
    </row>
    <row r="205" spans="1:26" ht="29.4" thickBot="1" x14ac:dyDescent="0.35">
      <c r="A205" s="4" t="s">
        <v>223</v>
      </c>
      <c r="B205" s="6">
        <v>45522</v>
      </c>
      <c r="C205" s="4" t="s">
        <v>88</v>
      </c>
      <c r="D205" s="4" t="s">
        <v>89</v>
      </c>
      <c r="E205" s="4" t="s">
        <v>119</v>
      </c>
      <c r="F205" s="4" t="s">
        <v>120</v>
      </c>
      <c r="G205" s="4" t="s">
        <v>21</v>
      </c>
      <c r="H205" s="7">
        <v>2</v>
      </c>
      <c r="I205" s="7">
        <v>89.99</v>
      </c>
      <c r="J205" s="4" t="s">
        <v>22</v>
      </c>
      <c r="K205" s="4" t="s">
        <v>65</v>
      </c>
      <c r="L205" s="4" t="s">
        <v>29</v>
      </c>
      <c r="M205" s="6">
        <v>44972</v>
      </c>
      <c r="N205" s="7">
        <f t="shared" si="6"/>
        <v>179.98</v>
      </c>
      <c r="O205" s="4"/>
      <c r="P205" s="4"/>
      <c r="Q205" s="4">
        <f t="shared" si="7"/>
        <v>34</v>
      </c>
      <c r="R205" s="4"/>
      <c r="S205" s="4" t="str">
        <v>Mark Carter</v>
      </c>
      <c r="T205" s="4"/>
      <c r="U205" s="4"/>
      <c r="V205" s="4"/>
      <c r="W205" s="4"/>
      <c r="X205" s="4"/>
      <c r="Y205" s="4"/>
      <c r="Z205" s="4"/>
    </row>
    <row r="206" spans="1:26" ht="29.4" thickBot="1" x14ac:dyDescent="0.35">
      <c r="A206" s="4" t="s">
        <v>246</v>
      </c>
      <c r="B206" s="6">
        <v>45548</v>
      </c>
      <c r="C206" s="4" t="s">
        <v>40</v>
      </c>
      <c r="D206" s="4" t="s">
        <v>41</v>
      </c>
      <c r="E206" s="4" t="s">
        <v>119</v>
      </c>
      <c r="F206" s="4" t="s">
        <v>120</v>
      </c>
      <c r="G206" s="4" t="s">
        <v>21</v>
      </c>
      <c r="H206" s="7">
        <v>2</v>
      </c>
      <c r="I206" s="7">
        <v>89.99</v>
      </c>
      <c r="J206" s="4" t="s">
        <v>28</v>
      </c>
      <c r="K206" s="4" t="s">
        <v>37</v>
      </c>
      <c r="L206" s="4" t="s">
        <v>29</v>
      </c>
      <c r="M206" s="6">
        <v>44641</v>
      </c>
      <c r="N206" s="7">
        <f t="shared" si="6"/>
        <v>179.98</v>
      </c>
      <c r="O206" s="4"/>
      <c r="P206" s="4"/>
      <c r="Q206" s="4">
        <f t="shared" si="7"/>
        <v>34</v>
      </c>
      <c r="R206" s="4"/>
      <c r="S206" s="4" t="str">
        <v>Kathleen Bennett</v>
      </c>
      <c r="T206" s="4"/>
      <c r="U206" s="4"/>
      <c r="V206" s="4"/>
      <c r="W206" s="4"/>
      <c r="X206" s="4"/>
      <c r="Y206" s="4"/>
      <c r="Z206" s="4"/>
    </row>
    <row r="207" spans="1:26" ht="29.4" thickBot="1" x14ac:dyDescent="0.35">
      <c r="A207" s="4" t="s">
        <v>325</v>
      </c>
      <c r="B207" s="6">
        <v>45660</v>
      </c>
      <c r="C207" s="4" t="s">
        <v>149</v>
      </c>
      <c r="D207" s="4" t="s">
        <v>150</v>
      </c>
      <c r="E207" s="4" t="s">
        <v>119</v>
      </c>
      <c r="F207" s="4" t="s">
        <v>120</v>
      </c>
      <c r="G207" s="4" t="s">
        <v>21</v>
      </c>
      <c r="H207" s="7">
        <v>2</v>
      </c>
      <c r="I207" s="7">
        <v>89.99</v>
      </c>
      <c r="J207" s="4" t="s">
        <v>28</v>
      </c>
      <c r="K207" s="4" t="s">
        <v>37</v>
      </c>
      <c r="L207" s="4" t="s">
        <v>29</v>
      </c>
      <c r="M207" s="6">
        <v>44564</v>
      </c>
      <c r="N207" s="7">
        <f t="shared" si="6"/>
        <v>179.98</v>
      </c>
      <c r="O207" s="4"/>
      <c r="P207" s="4"/>
      <c r="Q207" s="4">
        <f t="shared" si="7"/>
        <v>34</v>
      </c>
      <c r="R207" s="4"/>
      <c r="S207" s="4" t="str">
        <v>Daniel King</v>
      </c>
      <c r="T207" s="4"/>
      <c r="U207" s="4"/>
      <c r="V207" s="4"/>
      <c r="W207" s="4"/>
      <c r="X207" s="4"/>
      <c r="Y207" s="4"/>
      <c r="Z207" s="4"/>
    </row>
    <row r="208" spans="1:26" ht="29.4" thickBot="1" x14ac:dyDescent="0.35">
      <c r="A208" s="4" t="s">
        <v>351</v>
      </c>
      <c r="B208" s="6">
        <v>45688</v>
      </c>
      <c r="C208" s="4" t="s">
        <v>125</v>
      </c>
      <c r="D208" s="4" t="s">
        <v>126</v>
      </c>
      <c r="E208" s="4" t="s">
        <v>119</v>
      </c>
      <c r="F208" s="4" t="s">
        <v>120</v>
      </c>
      <c r="G208" s="4" t="s">
        <v>21</v>
      </c>
      <c r="H208" s="7">
        <v>2</v>
      </c>
      <c r="I208" s="7">
        <v>89.99</v>
      </c>
      <c r="J208" s="4" t="s">
        <v>59</v>
      </c>
      <c r="K208" s="4" t="s">
        <v>37</v>
      </c>
      <c r="L208" s="4" t="s">
        <v>24</v>
      </c>
      <c r="M208" s="6">
        <v>44777</v>
      </c>
      <c r="N208" s="7">
        <f t="shared" si="6"/>
        <v>179.98</v>
      </c>
      <c r="O208" s="4"/>
      <c r="P208" s="4"/>
      <c r="Q208" s="4">
        <f t="shared" si="7"/>
        <v>34</v>
      </c>
      <c r="R208" s="4"/>
      <c r="S208" s="4" t="str">
        <v>Edward Mitchell</v>
      </c>
      <c r="T208" s="4"/>
      <c r="U208" s="4"/>
      <c r="V208" s="4"/>
      <c r="W208" s="4"/>
      <c r="X208" s="4"/>
      <c r="Y208" s="4"/>
      <c r="Z208" s="4"/>
    </row>
    <row r="209" spans="1:26" ht="29.4" thickBot="1" x14ac:dyDescent="0.35">
      <c r="A209" s="4" t="s">
        <v>359</v>
      </c>
      <c r="B209" s="6">
        <v>45704</v>
      </c>
      <c r="C209" s="4" t="s">
        <v>17</v>
      </c>
      <c r="D209" s="4" t="s">
        <v>18</v>
      </c>
      <c r="E209" s="4" t="s">
        <v>119</v>
      </c>
      <c r="F209" s="4" t="s">
        <v>120</v>
      </c>
      <c r="G209" s="4" t="s">
        <v>21</v>
      </c>
      <c r="H209" s="7">
        <v>2</v>
      </c>
      <c r="I209" s="7">
        <v>89.99</v>
      </c>
      <c r="J209" s="4" t="s">
        <v>36</v>
      </c>
      <c r="K209" s="4" t="s">
        <v>23</v>
      </c>
      <c r="L209" s="4" t="s">
        <v>24</v>
      </c>
      <c r="M209" s="6">
        <v>45257</v>
      </c>
      <c r="N209" s="7">
        <f t="shared" si="6"/>
        <v>179.98</v>
      </c>
      <c r="O209" s="4"/>
      <c r="P209" s="4"/>
      <c r="Q209" s="4">
        <f t="shared" si="7"/>
        <v>34</v>
      </c>
      <c r="R209" s="4"/>
      <c r="S209" s="4" t="str">
        <v>Paul Baker</v>
      </c>
      <c r="T209" s="4"/>
      <c r="U209" s="4"/>
      <c r="V209" s="4"/>
      <c r="W209" s="4"/>
      <c r="X209" s="4"/>
      <c r="Y209" s="4"/>
      <c r="Z209" s="4"/>
    </row>
    <row r="210" spans="1:26" ht="29.4" thickBot="1" x14ac:dyDescent="0.35">
      <c r="A210" s="4" t="s">
        <v>376</v>
      </c>
      <c r="B210" s="6">
        <v>45723</v>
      </c>
      <c r="C210" s="4" t="s">
        <v>17</v>
      </c>
      <c r="D210" s="4" t="s">
        <v>18</v>
      </c>
      <c r="E210" s="4" t="s">
        <v>119</v>
      </c>
      <c r="F210" s="4" t="s">
        <v>120</v>
      </c>
      <c r="G210" s="4" t="s">
        <v>21</v>
      </c>
      <c r="H210" s="7">
        <v>2</v>
      </c>
      <c r="I210" s="7">
        <v>89.99</v>
      </c>
      <c r="J210" s="4" t="s">
        <v>28</v>
      </c>
      <c r="K210" s="4" t="s">
        <v>52</v>
      </c>
      <c r="L210" s="4" t="s">
        <v>29</v>
      </c>
      <c r="M210" s="6">
        <v>45295</v>
      </c>
      <c r="N210" s="7">
        <f t="shared" si="6"/>
        <v>179.98</v>
      </c>
      <c r="O210" s="4"/>
      <c r="P210" s="4"/>
      <c r="Q210" s="4">
        <f t="shared" si="7"/>
        <v>34</v>
      </c>
      <c r="R210" s="4"/>
      <c r="S210" s="4" t="str">
        <v>Paul Baker</v>
      </c>
      <c r="T210" s="4"/>
      <c r="U210" s="4"/>
      <c r="V210" s="4"/>
      <c r="W210" s="4"/>
      <c r="X210" s="4"/>
      <c r="Y210" s="4"/>
      <c r="Z210" s="4"/>
    </row>
    <row r="211" spans="1:26" ht="29.4" thickBot="1" x14ac:dyDescent="0.35">
      <c r="A211" s="4" t="s">
        <v>393</v>
      </c>
      <c r="B211" s="6">
        <v>45746</v>
      </c>
      <c r="C211" s="4" t="s">
        <v>67</v>
      </c>
      <c r="D211" s="4" t="s">
        <v>68</v>
      </c>
      <c r="E211" s="4" t="s">
        <v>119</v>
      </c>
      <c r="F211" s="4" t="s">
        <v>120</v>
      </c>
      <c r="G211" s="4" t="s">
        <v>21</v>
      </c>
      <c r="H211" s="7">
        <v>2</v>
      </c>
      <c r="I211" s="7">
        <v>89.99</v>
      </c>
      <c r="J211" s="4" t="s">
        <v>59</v>
      </c>
      <c r="K211" s="4" t="s">
        <v>52</v>
      </c>
      <c r="L211" s="4" t="s">
        <v>29</v>
      </c>
      <c r="M211" s="6">
        <v>44522</v>
      </c>
      <c r="N211" s="7">
        <f t="shared" si="6"/>
        <v>179.98</v>
      </c>
      <c r="O211" s="4"/>
      <c r="P211" s="4"/>
      <c r="Q211" s="4">
        <f t="shared" si="7"/>
        <v>34</v>
      </c>
      <c r="R211" s="4"/>
      <c r="S211" s="4" t="str">
        <v>Karen Hill</v>
      </c>
      <c r="T211" s="4"/>
      <c r="U211" s="4"/>
      <c r="V211" s="4"/>
      <c r="W211" s="4"/>
      <c r="X211" s="4"/>
      <c r="Y211" s="4"/>
      <c r="Z211" s="4"/>
    </row>
    <row r="212" spans="1:26" ht="29.4" thickBot="1" x14ac:dyDescent="0.35">
      <c r="A212" s="4" t="s">
        <v>399</v>
      </c>
      <c r="B212" s="6">
        <v>45758</v>
      </c>
      <c r="C212" s="4" t="s">
        <v>228</v>
      </c>
      <c r="D212" s="4" t="s">
        <v>229</v>
      </c>
      <c r="E212" s="4" t="s">
        <v>119</v>
      </c>
      <c r="F212" s="4" t="s">
        <v>120</v>
      </c>
      <c r="G212" s="4" t="s">
        <v>21</v>
      </c>
      <c r="H212" s="7">
        <v>2</v>
      </c>
      <c r="I212" s="7">
        <v>89.99</v>
      </c>
      <c r="J212" s="4" t="s">
        <v>59</v>
      </c>
      <c r="K212" s="4" t="s">
        <v>65</v>
      </c>
      <c r="L212" s="4" t="s">
        <v>24</v>
      </c>
      <c r="M212" s="6">
        <v>45088</v>
      </c>
      <c r="N212" s="7">
        <f t="shared" si="6"/>
        <v>179.98</v>
      </c>
      <c r="O212" s="4"/>
      <c r="P212" s="4"/>
      <c r="Q212" s="4">
        <f t="shared" si="7"/>
        <v>34</v>
      </c>
      <c r="R212" s="4"/>
      <c r="S212" s="4" t="str">
        <v>Lawrence Reed</v>
      </c>
      <c r="T212" s="4"/>
      <c r="U212" s="4"/>
      <c r="V212" s="4"/>
      <c r="W212" s="4"/>
      <c r="X212" s="4"/>
      <c r="Y212" s="4"/>
      <c r="Z212" s="4"/>
    </row>
    <row r="213" spans="1:26" ht="29.4" thickBot="1" x14ac:dyDescent="0.35">
      <c r="A213" s="4" t="s">
        <v>30</v>
      </c>
      <c r="B213" s="6">
        <v>45399</v>
      </c>
      <c r="C213" s="4" t="s">
        <v>31</v>
      </c>
      <c r="D213" s="4" t="s">
        <v>32</v>
      </c>
      <c r="E213" s="4" t="s">
        <v>33</v>
      </c>
      <c r="F213" s="4" t="s">
        <v>34</v>
      </c>
      <c r="G213" s="4" t="s">
        <v>35</v>
      </c>
      <c r="H213" s="7">
        <v>3</v>
      </c>
      <c r="I213" s="7">
        <v>59.99</v>
      </c>
      <c r="J213" s="4" t="s">
        <v>36</v>
      </c>
      <c r="K213" s="4" t="s">
        <v>37</v>
      </c>
      <c r="L213" s="4" t="s">
        <v>38</v>
      </c>
      <c r="M213" s="6">
        <v>45262</v>
      </c>
      <c r="N213" s="7">
        <f t="shared" si="6"/>
        <v>179.97</v>
      </c>
      <c r="O213" s="4"/>
      <c r="P213" s="4"/>
      <c r="Q213" s="4">
        <f t="shared" si="7"/>
        <v>29</v>
      </c>
      <c r="R213" s="4"/>
      <c r="S213" s="4" t="str">
        <v>Kevin Scott</v>
      </c>
      <c r="T213" s="4"/>
      <c r="U213" s="4"/>
      <c r="V213" s="4"/>
      <c r="W213" s="4"/>
      <c r="X213" s="4"/>
      <c r="Y213" s="4"/>
      <c r="Z213" s="4"/>
    </row>
    <row r="214" spans="1:26" ht="29.4" thickBot="1" x14ac:dyDescent="0.35">
      <c r="A214" s="4" t="s">
        <v>39</v>
      </c>
      <c r="B214" s="6">
        <v>45400</v>
      </c>
      <c r="C214" s="4" t="s">
        <v>40</v>
      </c>
      <c r="D214" s="4" t="s">
        <v>41</v>
      </c>
      <c r="E214" s="4" t="s">
        <v>33</v>
      </c>
      <c r="F214" s="4" t="s">
        <v>34</v>
      </c>
      <c r="G214" s="4" t="s">
        <v>35</v>
      </c>
      <c r="H214" s="7">
        <v>3</v>
      </c>
      <c r="I214" s="7">
        <v>59.99</v>
      </c>
      <c r="J214" s="4" t="s">
        <v>22</v>
      </c>
      <c r="K214" s="4" t="s">
        <v>42</v>
      </c>
      <c r="L214" s="4" t="s">
        <v>29</v>
      </c>
      <c r="M214" s="6">
        <v>45114</v>
      </c>
      <c r="N214" s="7">
        <f t="shared" si="6"/>
        <v>179.97</v>
      </c>
      <c r="O214" s="4"/>
      <c r="P214" s="4"/>
      <c r="Q214" s="4">
        <f t="shared" si="7"/>
        <v>29</v>
      </c>
      <c r="R214" s="4"/>
      <c r="S214" s="4" t="str">
        <v>Kathleen Bennett</v>
      </c>
      <c r="T214" s="4"/>
      <c r="U214" s="4"/>
      <c r="V214" s="4"/>
      <c r="W214" s="4"/>
      <c r="X214" s="4"/>
      <c r="Y214" s="4"/>
      <c r="Z214" s="4"/>
    </row>
    <row r="215" spans="1:26" ht="29.4" thickBot="1" x14ac:dyDescent="0.35">
      <c r="A215" s="4" t="s">
        <v>56</v>
      </c>
      <c r="B215" s="6">
        <v>45403</v>
      </c>
      <c r="C215" s="4" t="s">
        <v>57</v>
      </c>
      <c r="D215" s="4" t="s">
        <v>58</v>
      </c>
      <c r="E215" s="4" t="s">
        <v>33</v>
      </c>
      <c r="F215" s="4" t="s">
        <v>34</v>
      </c>
      <c r="G215" s="4" t="s">
        <v>35</v>
      </c>
      <c r="H215" s="7">
        <v>3</v>
      </c>
      <c r="I215" s="7">
        <v>59.99</v>
      </c>
      <c r="J215" s="4" t="s">
        <v>59</v>
      </c>
      <c r="K215" s="4" t="s">
        <v>37</v>
      </c>
      <c r="L215" s="4" t="s">
        <v>24</v>
      </c>
      <c r="M215" s="6">
        <v>45007</v>
      </c>
      <c r="N215" s="7">
        <f t="shared" si="6"/>
        <v>179.97</v>
      </c>
      <c r="O215" s="4"/>
      <c r="P215" s="4"/>
      <c r="Q215" s="4">
        <f t="shared" si="7"/>
        <v>29</v>
      </c>
      <c r="R215" s="4"/>
      <c r="S215" s="4" t="str">
        <v>Charles Allen</v>
      </c>
      <c r="T215" s="4"/>
      <c r="U215" s="4"/>
      <c r="V215" s="4"/>
      <c r="W215" s="4"/>
      <c r="X215" s="4"/>
      <c r="Y215" s="4"/>
      <c r="Z215" s="4"/>
    </row>
    <row r="216" spans="1:26" ht="29.4" thickBot="1" x14ac:dyDescent="0.35">
      <c r="A216" s="4" t="s">
        <v>66</v>
      </c>
      <c r="B216" s="6">
        <v>45408</v>
      </c>
      <c r="C216" s="4" t="s">
        <v>67</v>
      </c>
      <c r="D216" s="4" t="s">
        <v>68</v>
      </c>
      <c r="E216" s="4" t="s">
        <v>33</v>
      </c>
      <c r="F216" s="4" t="s">
        <v>34</v>
      </c>
      <c r="G216" s="4" t="s">
        <v>35</v>
      </c>
      <c r="H216" s="7">
        <v>3</v>
      </c>
      <c r="I216" s="7">
        <v>59.99</v>
      </c>
      <c r="J216" s="4" t="s">
        <v>22</v>
      </c>
      <c r="K216" s="4" t="s">
        <v>52</v>
      </c>
      <c r="L216" s="4" t="s">
        <v>29</v>
      </c>
      <c r="M216" s="6">
        <v>45207</v>
      </c>
      <c r="N216" s="7">
        <f t="shared" si="6"/>
        <v>179.97</v>
      </c>
      <c r="O216" s="4"/>
      <c r="P216" s="4"/>
      <c r="Q216" s="4">
        <f t="shared" si="7"/>
        <v>29</v>
      </c>
      <c r="R216" s="4"/>
      <c r="S216" s="4" t="str">
        <v>Karen Hill</v>
      </c>
      <c r="T216" s="4"/>
      <c r="U216" s="4"/>
      <c r="V216" s="4"/>
      <c r="W216" s="4"/>
      <c r="X216" s="4"/>
      <c r="Y216" s="4"/>
      <c r="Z216" s="4"/>
    </row>
    <row r="217" spans="1:26" ht="29.4" thickBot="1" x14ac:dyDescent="0.35">
      <c r="A217" s="4" t="s">
        <v>76</v>
      </c>
      <c r="B217" s="6">
        <v>45409</v>
      </c>
      <c r="C217" s="4" t="s">
        <v>77</v>
      </c>
      <c r="D217" s="4" t="s">
        <v>78</v>
      </c>
      <c r="E217" s="4" t="s">
        <v>33</v>
      </c>
      <c r="F217" s="4" t="s">
        <v>34</v>
      </c>
      <c r="G217" s="4" t="s">
        <v>35</v>
      </c>
      <c r="H217" s="7">
        <v>3</v>
      </c>
      <c r="I217" s="7">
        <v>59.99</v>
      </c>
      <c r="J217" s="4" t="s">
        <v>28</v>
      </c>
      <c r="K217" s="4" t="s">
        <v>42</v>
      </c>
      <c r="L217" s="4" t="s">
        <v>38</v>
      </c>
      <c r="M217" s="6">
        <v>45351</v>
      </c>
      <c r="N217" s="7">
        <f t="shared" si="6"/>
        <v>179.97</v>
      </c>
      <c r="O217" s="4"/>
      <c r="P217" s="4"/>
      <c r="Q217" s="4">
        <f t="shared" si="7"/>
        <v>29</v>
      </c>
      <c r="R217" s="4"/>
      <c r="S217" s="4" t="str">
        <v>Dennis Gray</v>
      </c>
      <c r="T217" s="4"/>
      <c r="U217" s="4"/>
      <c r="V217" s="4"/>
      <c r="W217" s="4"/>
      <c r="X217" s="4"/>
      <c r="Y217" s="4"/>
      <c r="Z217" s="4"/>
    </row>
    <row r="218" spans="1:26" ht="29.4" thickBot="1" x14ac:dyDescent="0.35">
      <c r="A218" s="4" t="s">
        <v>197</v>
      </c>
      <c r="B218" s="6">
        <v>45490</v>
      </c>
      <c r="C218" s="4" t="s">
        <v>198</v>
      </c>
      <c r="D218" s="4" t="s">
        <v>199</v>
      </c>
      <c r="E218" s="4" t="s">
        <v>33</v>
      </c>
      <c r="F218" s="4" t="s">
        <v>34</v>
      </c>
      <c r="G218" s="4" t="s">
        <v>35</v>
      </c>
      <c r="H218" s="7">
        <v>3</v>
      </c>
      <c r="I218" s="7">
        <v>59.99</v>
      </c>
      <c r="J218" s="4" t="s">
        <v>28</v>
      </c>
      <c r="K218" s="4" t="s">
        <v>52</v>
      </c>
      <c r="L218" s="4" t="s">
        <v>24</v>
      </c>
      <c r="M218" s="6">
        <v>45130</v>
      </c>
      <c r="N218" s="7">
        <f t="shared" si="6"/>
        <v>179.97</v>
      </c>
      <c r="O218" s="4"/>
      <c r="P218" s="4"/>
      <c r="Q218" s="4">
        <f t="shared" si="7"/>
        <v>29</v>
      </c>
      <c r="R218" s="4"/>
      <c r="S218" s="4" t="str">
        <v>Gerald Murphy</v>
      </c>
      <c r="T218" s="4"/>
      <c r="U218" s="4"/>
      <c r="V218" s="4"/>
      <c r="W218" s="4"/>
      <c r="X218" s="4"/>
      <c r="Y218" s="4"/>
      <c r="Z218" s="4"/>
    </row>
    <row r="219" spans="1:26" ht="29.4" thickBot="1" x14ac:dyDescent="0.35">
      <c r="A219" s="4" t="s">
        <v>241</v>
      </c>
      <c r="B219" s="6">
        <v>45541</v>
      </c>
      <c r="C219" s="4" t="s">
        <v>140</v>
      </c>
      <c r="D219" s="4" t="s">
        <v>141</v>
      </c>
      <c r="E219" s="4" t="s">
        <v>33</v>
      </c>
      <c r="F219" s="4" t="s">
        <v>34</v>
      </c>
      <c r="G219" s="4" t="s">
        <v>35</v>
      </c>
      <c r="H219" s="7">
        <v>3</v>
      </c>
      <c r="I219" s="7">
        <v>59.99</v>
      </c>
      <c r="J219" s="4" t="s">
        <v>28</v>
      </c>
      <c r="K219" s="4" t="s">
        <v>23</v>
      </c>
      <c r="L219" s="4" t="s">
        <v>29</v>
      </c>
      <c r="M219" s="6">
        <v>44717</v>
      </c>
      <c r="N219" s="7">
        <f t="shared" si="6"/>
        <v>179.97</v>
      </c>
      <c r="O219" s="4"/>
      <c r="P219" s="4"/>
      <c r="Q219" s="4">
        <f t="shared" si="7"/>
        <v>29</v>
      </c>
      <c r="R219" s="4"/>
      <c r="S219" s="4" t="str">
        <v>Steven Turner</v>
      </c>
      <c r="T219" s="4"/>
      <c r="U219" s="4"/>
      <c r="V219" s="4"/>
      <c r="W219" s="4"/>
      <c r="X219" s="4"/>
      <c r="Y219" s="4"/>
      <c r="Z219" s="4"/>
    </row>
    <row r="220" spans="1:26" ht="29.4" thickBot="1" x14ac:dyDescent="0.35">
      <c r="A220" s="4" t="s">
        <v>242</v>
      </c>
      <c r="B220" s="6">
        <v>45544</v>
      </c>
      <c r="C220" s="4" t="s">
        <v>134</v>
      </c>
      <c r="D220" s="4" t="s">
        <v>135</v>
      </c>
      <c r="E220" s="4" t="s">
        <v>33</v>
      </c>
      <c r="F220" s="4" t="s">
        <v>34</v>
      </c>
      <c r="G220" s="4" t="s">
        <v>35</v>
      </c>
      <c r="H220" s="7">
        <v>3</v>
      </c>
      <c r="I220" s="7">
        <v>59.99</v>
      </c>
      <c r="J220" s="4" t="s">
        <v>36</v>
      </c>
      <c r="K220" s="4" t="s">
        <v>65</v>
      </c>
      <c r="L220" s="4" t="s">
        <v>38</v>
      </c>
      <c r="M220" s="6">
        <v>44748</v>
      </c>
      <c r="N220" s="7">
        <f t="shared" si="6"/>
        <v>179.97</v>
      </c>
      <c r="O220" s="4"/>
      <c r="P220" s="4"/>
      <c r="Q220" s="4">
        <f t="shared" si="7"/>
        <v>29</v>
      </c>
      <c r="R220" s="4"/>
      <c r="S220" s="4" t="str">
        <v>Emma Wilson</v>
      </c>
      <c r="T220" s="4"/>
      <c r="U220" s="4"/>
      <c r="V220" s="4"/>
      <c r="W220" s="4"/>
      <c r="X220" s="4"/>
      <c r="Y220" s="4"/>
      <c r="Z220" s="4"/>
    </row>
    <row r="221" spans="1:26" ht="29.4" thickBot="1" x14ac:dyDescent="0.35">
      <c r="A221" s="4" t="s">
        <v>288</v>
      </c>
      <c r="B221" s="6">
        <v>45608</v>
      </c>
      <c r="C221" s="4" t="s">
        <v>85</v>
      </c>
      <c r="D221" s="4" t="s">
        <v>86</v>
      </c>
      <c r="E221" s="4" t="s">
        <v>33</v>
      </c>
      <c r="F221" s="4" t="s">
        <v>34</v>
      </c>
      <c r="G221" s="4" t="s">
        <v>35</v>
      </c>
      <c r="H221" s="7">
        <v>3</v>
      </c>
      <c r="I221" s="7">
        <v>59.99</v>
      </c>
      <c r="J221" s="4" t="s">
        <v>59</v>
      </c>
      <c r="K221" s="4" t="s">
        <v>37</v>
      </c>
      <c r="L221" s="4" t="s">
        <v>38</v>
      </c>
      <c r="M221" s="6">
        <v>45260</v>
      </c>
      <c r="N221" s="7">
        <f t="shared" si="6"/>
        <v>179.97</v>
      </c>
      <c r="O221" s="4"/>
      <c r="P221" s="4"/>
      <c r="Q221" s="4">
        <f t="shared" si="7"/>
        <v>29</v>
      </c>
      <c r="R221" s="4"/>
      <c r="S221" s="4" t="str">
        <v>George Adams</v>
      </c>
      <c r="T221" s="4"/>
      <c r="U221" s="4"/>
      <c r="V221" s="4"/>
      <c r="W221" s="4"/>
      <c r="X221" s="4"/>
      <c r="Y221" s="4"/>
      <c r="Z221" s="4"/>
    </row>
    <row r="222" spans="1:26" ht="29.4" thickBot="1" x14ac:dyDescent="0.35">
      <c r="A222" s="4" t="s">
        <v>305</v>
      </c>
      <c r="B222" s="6">
        <v>45635</v>
      </c>
      <c r="C222" s="4" t="s">
        <v>306</v>
      </c>
      <c r="D222" s="4" t="s">
        <v>307</v>
      </c>
      <c r="E222" s="4" t="s">
        <v>33</v>
      </c>
      <c r="F222" s="4" t="s">
        <v>34</v>
      </c>
      <c r="G222" s="4" t="s">
        <v>35</v>
      </c>
      <c r="H222" s="7">
        <v>3</v>
      </c>
      <c r="I222" s="7">
        <v>59.99</v>
      </c>
      <c r="J222" s="4" t="s">
        <v>22</v>
      </c>
      <c r="K222" s="4" t="s">
        <v>23</v>
      </c>
      <c r="L222" s="4" t="s">
        <v>29</v>
      </c>
      <c r="M222" s="6">
        <v>45052</v>
      </c>
      <c r="N222" s="7">
        <f t="shared" si="6"/>
        <v>179.97</v>
      </c>
      <c r="O222" s="4"/>
      <c r="P222" s="4"/>
      <c r="Q222" s="4">
        <f t="shared" si="7"/>
        <v>29</v>
      </c>
      <c r="R222" s="4"/>
      <c r="S222" s="4" t="str">
        <v>James Johnson</v>
      </c>
      <c r="T222" s="4"/>
      <c r="U222" s="4"/>
      <c r="V222" s="4"/>
      <c r="W222" s="4"/>
      <c r="X222" s="4"/>
      <c r="Y222" s="4"/>
      <c r="Z222" s="4"/>
    </row>
    <row r="223" spans="1:26" ht="29.4" thickBot="1" x14ac:dyDescent="0.35">
      <c r="A223" s="4" t="s">
        <v>69</v>
      </c>
      <c r="B223" s="6">
        <v>45408</v>
      </c>
      <c r="C223" s="4" t="s">
        <v>70</v>
      </c>
      <c r="D223" s="4" t="s">
        <v>71</v>
      </c>
      <c r="E223" s="4" t="s">
        <v>46</v>
      </c>
      <c r="F223" s="4" t="s">
        <v>47</v>
      </c>
      <c r="G223" s="4" t="s">
        <v>48</v>
      </c>
      <c r="H223" s="7">
        <v>1</v>
      </c>
      <c r="I223" s="7">
        <v>149.99</v>
      </c>
      <c r="J223" s="4" t="s">
        <v>28</v>
      </c>
      <c r="K223" s="4" t="s">
        <v>52</v>
      </c>
      <c r="L223" s="4" t="s">
        <v>38</v>
      </c>
      <c r="M223" s="6">
        <v>45103</v>
      </c>
      <c r="N223" s="7">
        <f t="shared" si="6"/>
        <v>149.99</v>
      </c>
      <c r="O223" s="4"/>
      <c r="P223" s="4"/>
      <c r="Q223" s="4">
        <f t="shared" si="7"/>
        <v>35</v>
      </c>
      <c r="R223" s="4"/>
      <c r="S223" s="4" t="str">
        <v>Susan Green</v>
      </c>
      <c r="T223" s="4"/>
      <c r="U223" s="4"/>
      <c r="V223" s="4"/>
      <c r="W223" s="4"/>
      <c r="X223" s="4"/>
      <c r="Y223" s="4"/>
      <c r="Z223" s="4"/>
    </row>
    <row r="224" spans="1:26" ht="29.4" thickBot="1" x14ac:dyDescent="0.35">
      <c r="A224" s="4" t="s">
        <v>179</v>
      </c>
      <c r="B224" s="6">
        <v>45472</v>
      </c>
      <c r="C224" s="4" t="s">
        <v>122</v>
      </c>
      <c r="D224" s="4" t="s">
        <v>123</v>
      </c>
      <c r="E224" s="4" t="s">
        <v>46</v>
      </c>
      <c r="F224" s="4" t="s">
        <v>47</v>
      </c>
      <c r="G224" s="4" t="s">
        <v>48</v>
      </c>
      <c r="H224" s="7">
        <v>1</v>
      </c>
      <c r="I224" s="7">
        <v>149.99</v>
      </c>
      <c r="J224" s="4" t="s">
        <v>36</v>
      </c>
      <c r="K224" s="4" t="s">
        <v>65</v>
      </c>
      <c r="L224" s="4" t="s">
        <v>24</v>
      </c>
      <c r="M224" s="6">
        <v>44851</v>
      </c>
      <c r="N224" s="7">
        <f t="shared" si="6"/>
        <v>149.99</v>
      </c>
      <c r="O224" s="4"/>
      <c r="P224" s="4"/>
      <c r="Q224" s="4">
        <f t="shared" si="7"/>
        <v>35</v>
      </c>
      <c r="R224" s="4"/>
      <c r="S224" s="4" t="str">
        <v>Helen Roberts</v>
      </c>
      <c r="T224" s="4"/>
      <c r="U224" s="4"/>
      <c r="V224" s="4"/>
      <c r="W224" s="4"/>
      <c r="X224" s="4"/>
      <c r="Y224" s="4"/>
      <c r="Z224" s="4"/>
    </row>
    <row r="225" spans="1:26" ht="29.4" thickBot="1" x14ac:dyDescent="0.35">
      <c r="A225" s="4" t="s">
        <v>186</v>
      </c>
      <c r="B225" s="6">
        <v>45481</v>
      </c>
      <c r="C225" s="4" t="s">
        <v>187</v>
      </c>
      <c r="D225" s="4" t="s">
        <v>188</v>
      </c>
      <c r="E225" s="4" t="s">
        <v>46</v>
      </c>
      <c r="F225" s="4" t="s">
        <v>47</v>
      </c>
      <c r="G225" s="4" t="s">
        <v>48</v>
      </c>
      <c r="H225" s="7">
        <v>1</v>
      </c>
      <c r="I225" s="7">
        <v>149.99</v>
      </c>
      <c r="J225" s="4" t="s">
        <v>36</v>
      </c>
      <c r="K225" s="4" t="s">
        <v>42</v>
      </c>
      <c r="L225" s="4" t="s">
        <v>24</v>
      </c>
      <c r="M225" s="6">
        <v>44421</v>
      </c>
      <c r="N225" s="7">
        <f t="shared" si="6"/>
        <v>149.99</v>
      </c>
      <c r="O225" s="4"/>
      <c r="P225" s="4"/>
      <c r="Q225" s="4">
        <f t="shared" si="7"/>
        <v>35</v>
      </c>
      <c r="R225" s="4"/>
      <c r="S225" s="4" t="str">
        <v>Margaret Wright</v>
      </c>
      <c r="T225" s="4"/>
      <c r="U225" s="4"/>
      <c r="V225" s="4"/>
      <c r="W225" s="4"/>
      <c r="X225" s="4"/>
      <c r="Y225" s="4"/>
      <c r="Z225" s="4"/>
    </row>
    <row r="226" spans="1:26" ht="29.4" thickBot="1" x14ac:dyDescent="0.35">
      <c r="A226" s="4" t="s">
        <v>192</v>
      </c>
      <c r="B226" s="6">
        <v>45484</v>
      </c>
      <c r="C226" s="4" t="s">
        <v>26</v>
      </c>
      <c r="D226" s="4" t="s">
        <v>27</v>
      </c>
      <c r="E226" s="4" t="s">
        <v>54</v>
      </c>
      <c r="F226" s="4" t="s">
        <v>55</v>
      </c>
      <c r="G226" s="4" t="s">
        <v>21</v>
      </c>
      <c r="H226" s="7">
        <v>1</v>
      </c>
      <c r="I226" s="7">
        <v>149.99</v>
      </c>
      <c r="J226" s="4" t="s">
        <v>22</v>
      </c>
      <c r="K226" s="4" t="s">
        <v>23</v>
      </c>
      <c r="L226" s="4" t="s">
        <v>38</v>
      </c>
      <c r="M226" s="6">
        <v>44909</v>
      </c>
      <c r="N226" s="7">
        <f t="shared" si="6"/>
        <v>149.99</v>
      </c>
      <c r="O226" s="4"/>
      <c r="P226" s="4"/>
      <c r="Q226" s="4">
        <f t="shared" si="7"/>
        <v>16</v>
      </c>
      <c r="R226" s="4"/>
      <c r="S226" s="4" t="str">
        <v>Joseph Jackson</v>
      </c>
      <c r="T226" s="4"/>
      <c r="U226" s="4"/>
      <c r="V226" s="4"/>
      <c r="W226" s="4"/>
      <c r="X226" s="4"/>
      <c r="Y226" s="4"/>
      <c r="Z226" s="4"/>
    </row>
    <row r="227" spans="1:26" ht="29.4" thickBot="1" x14ac:dyDescent="0.35">
      <c r="A227" s="4" t="s">
        <v>253</v>
      </c>
      <c r="B227" s="6">
        <v>45554</v>
      </c>
      <c r="C227" s="4" t="s">
        <v>254</v>
      </c>
      <c r="D227" s="4" t="s">
        <v>255</v>
      </c>
      <c r="E227" s="4" t="s">
        <v>54</v>
      </c>
      <c r="F227" s="4" t="s">
        <v>55</v>
      </c>
      <c r="G227" s="4" t="s">
        <v>21</v>
      </c>
      <c r="H227" s="7">
        <v>1</v>
      </c>
      <c r="I227" s="7">
        <v>149.99</v>
      </c>
      <c r="J227" s="4" t="s">
        <v>36</v>
      </c>
      <c r="K227" s="4" t="s">
        <v>65</v>
      </c>
      <c r="L227" s="4" t="s">
        <v>38</v>
      </c>
      <c r="M227" s="6">
        <v>44482</v>
      </c>
      <c r="N227" s="7">
        <f t="shared" si="6"/>
        <v>149.99</v>
      </c>
      <c r="O227" s="4"/>
      <c r="P227" s="4"/>
      <c r="Q227" s="4">
        <f t="shared" si="7"/>
        <v>16</v>
      </c>
      <c r="R227" s="4"/>
      <c r="S227" s="4" t="str">
        <v>William White</v>
      </c>
      <c r="T227" s="4"/>
      <c r="U227" s="4"/>
      <c r="V227" s="4"/>
      <c r="W227" s="4"/>
      <c r="X227" s="4"/>
      <c r="Y227" s="4"/>
      <c r="Z227" s="4"/>
    </row>
    <row r="228" spans="1:26" ht="29.4" thickBot="1" x14ac:dyDescent="0.35">
      <c r="A228" s="4" t="s">
        <v>311</v>
      </c>
      <c r="B228" s="6">
        <v>45641</v>
      </c>
      <c r="C228" s="4" t="s">
        <v>184</v>
      </c>
      <c r="D228" s="4" t="s">
        <v>185</v>
      </c>
      <c r="E228" s="4" t="s">
        <v>46</v>
      </c>
      <c r="F228" s="4" t="s">
        <v>47</v>
      </c>
      <c r="G228" s="4" t="s">
        <v>48</v>
      </c>
      <c r="H228" s="7">
        <v>1</v>
      </c>
      <c r="I228" s="7">
        <v>149.99</v>
      </c>
      <c r="J228" s="4" t="s">
        <v>59</v>
      </c>
      <c r="K228" s="4" t="s">
        <v>65</v>
      </c>
      <c r="L228" s="4" t="s">
        <v>38</v>
      </c>
      <c r="M228" s="6">
        <v>45200</v>
      </c>
      <c r="N228" s="7">
        <f t="shared" si="6"/>
        <v>149.99</v>
      </c>
      <c r="O228" s="4"/>
      <c r="P228" s="4"/>
      <c r="Q228" s="4">
        <f t="shared" si="7"/>
        <v>35</v>
      </c>
      <c r="R228" s="4"/>
      <c r="S228" s="4" t="str">
        <v>David Martinez</v>
      </c>
      <c r="T228" s="4"/>
      <c r="U228" s="4"/>
      <c r="V228" s="4"/>
      <c r="W228" s="4"/>
      <c r="X228" s="4"/>
      <c r="Y228" s="4"/>
      <c r="Z228" s="4"/>
    </row>
    <row r="229" spans="1:26" ht="29.4" thickBot="1" x14ac:dyDescent="0.35">
      <c r="A229" s="4" t="s">
        <v>49</v>
      </c>
      <c r="B229" s="6">
        <v>45403</v>
      </c>
      <c r="C229" s="4" t="s">
        <v>50</v>
      </c>
      <c r="D229" s="4" t="s">
        <v>51</v>
      </c>
      <c r="E229" s="4" t="s">
        <v>33</v>
      </c>
      <c r="F229" s="4" t="s">
        <v>34</v>
      </c>
      <c r="G229" s="4" t="s">
        <v>35</v>
      </c>
      <c r="H229" s="7">
        <v>2</v>
      </c>
      <c r="I229" s="7">
        <v>59.99</v>
      </c>
      <c r="J229" s="4" t="s">
        <v>22</v>
      </c>
      <c r="K229" s="4" t="s">
        <v>52</v>
      </c>
      <c r="L229" s="4" t="s">
        <v>38</v>
      </c>
      <c r="M229" s="6">
        <v>44746</v>
      </c>
      <c r="N229" s="7">
        <f t="shared" si="6"/>
        <v>119.98</v>
      </c>
      <c r="O229" s="4"/>
      <c r="P229" s="4"/>
      <c r="Q229" s="4">
        <f t="shared" si="7"/>
        <v>29</v>
      </c>
      <c r="R229" s="4"/>
      <c r="S229" s="4" t="str">
        <v>Dorothy Nelson</v>
      </c>
      <c r="T229" s="4"/>
      <c r="U229" s="4"/>
      <c r="V229" s="4"/>
      <c r="W229" s="4"/>
      <c r="X229" s="4"/>
      <c r="Y229" s="4"/>
      <c r="Z229" s="4"/>
    </row>
    <row r="230" spans="1:26" ht="29.4" thickBot="1" x14ac:dyDescent="0.35">
      <c r="A230" s="4" t="s">
        <v>121</v>
      </c>
      <c r="B230" s="6">
        <v>45425</v>
      </c>
      <c r="C230" s="4" t="s">
        <v>122</v>
      </c>
      <c r="D230" s="4" t="s">
        <v>123</v>
      </c>
      <c r="E230" s="4" t="s">
        <v>33</v>
      </c>
      <c r="F230" s="4" t="s">
        <v>34</v>
      </c>
      <c r="G230" s="4" t="s">
        <v>35</v>
      </c>
      <c r="H230" s="7">
        <v>2</v>
      </c>
      <c r="I230" s="7">
        <v>59.99</v>
      </c>
      <c r="J230" s="4" t="s">
        <v>59</v>
      </c>
      <c r="K230" s="4" t="s">
        <v>23</v>
      </c>
      <c r="L230" s="4" t="s">
        <v>38</v>
      </c>
      <c r="M230" s="6">
        <v>45214</v>
      </c>
      <c r="N230" s="7">
        <f t="shared" si="6"/>
        <v>119.98</v>
      </c>
      <c r="O230" s="4"/>
      <c r="P230" s="4"/>
      <c r="Q230" s="4">
        <f t="shared" si="7"/>
        <v>29</v>
      </c>
      <c r="R230" s="4"/>
      <c r="S230" s="4" t="str">
        <v>Helen Roberts</v>
      </c>
      <c r="T230" s="4"/>
      <c r="U230" s="4"/>
      <c r="V230" s="4"/>
      <c r="W230" s="4"/>
      <c r="X230" s="4"/>
      <c r="Y230" s="4"/>
      <c r="Z230" s="4"/>
    </row>
    <row r="231" spans="1:26" ht="29.4" thickBot="1" x14ac:dyDescent="0.35">
      <c r="A231" s="4" t="s">
        <v>151</v>
      </c>
      <c r="B231" s="6">
        <v>45444</v>
      </c>
      <c r="C231" s="4" t="s">
        <v>152</v>
      </c>
      <c r="D231" s="4" t="s">
        <v>153</v>
      </c>
      <c r="E231" s="4" t="s">
        <v>33</v>
      </c>
      <c r="F231" s="4" t="s">
        <v>34</v>
      </c>
      <c r="G231" s="4" t="s">
        <v>35</v>
      </c>
      <c r="H231" s="7">
        <v>2</v>
      </c>
      <c r="I231" s="7">
        <v>59.99</v>
      </c>
      <c r="J231" s="4" t="s">
        <v>22</v>
      </c>
      <c r="K231" s="4" t="s">
        <v>52</v>
      </c>
      <c r="L231" s="4" t="s">
        <v>24</v>
      </c>
      <c r="M231" s="6">
        <v>45390</v>
      </c>
      <c r="N231" s="7">
        <f t="shared" si="6"/>
        <v>119.98</v>
      </c>
      <c r="O231" s="4"/>
      <c r="P231" s="4"/>
      <c r="Q231" s="4">
        <f t="shared" si="7"/>
        <v>29</v>
      </c>
      <c r="R231" s="4"/>
      <c r="S231" s="4" t="str">
        <v>Sharon Butler</v>
      </c>
      <c r="T231" s="4"/>
      <c r="U231" s="4"/>
      <c r="V231" s="4"/>
      <c r="W231" s="4"/>
      <c r="X231" s="4"/>
      <c r="Y231" s="4"/>
      <c r="Z231" s="4"/>
    </row>
    <row r="232" spans="1:26" ht="29.4" thickBot="1" x14ac:dyDescent="0.35">
      <c r="A232" s="4" t="s">
        <v>204</v>
      </c>
      <c r="B232" s="6">
        <v>45498</v>
      </c>
      <c r="C232" s="4" t="s">
        <v>184</v>
      </c>
      <c r="D232" s="4" t="s">
        <v>185</v>
      </c>
      <c r="E232" s="4" t="s">
        <v>33</v>
      </c>
      <c r="F232" s="4" t="s">
        <v>34</v>
      </c>
      <c r="G232" s="4" t="s">
        <v>35</v>
      </c>
      <c r="H232" s="7">
        <v>2</v>
      </c>
      <c r="I232" s="7">
        <v>59.99</v>
      </c>
      <c r="J232" s="4" t="s">
        <v>22</v>
      </c>
      <c r="K232" s="4" t="s">
        <v>42</v>
      </c>
      <c r="L232" s="4" t="s">
        <v>38</v>
      </c>
      <c r="M232" s="6">
        <v>45152</v>
      </c>
      <c r="N232" s="7">
        <f t="shared" si="6"/>
        <v>119.98</v>
      </c>
      <c r="O232" s="4"/>
      <c r="P232" s="4"/>
      <c r="Q232" s="4">
        <f t="shared" si="7"/>
        <v>29</v>
      </c>
      <c r="R232" s="4"/>
      <c r="S232" s="4" t="str">
        <v>David Martinez</v>
      </c>
      <c r="T232" s="4"/>
      <c r="U232" s="4"/>
      <c r="V232" s="4"/>
      <c r="W232" s="4"/>
      <c r="X232" s="4"/>
      <c r="Y232" s="4"/>
      <c r="Z232" s="4"/>
    </row>
    <row r="233" spans="1:26" ht="29.4" thickBot="1" x14ac:dyDescent="0.35">
      <c r="A233" s="4" t="s">
        <v>264</v>
      </c>
      <c r="B233" s="6">
        <v>45572</v>
      </c>
      <c r="C233" s="4" t="s">
        <v>91</v>
      </c>
      <c r="D233" s="4" t="s">
        <v>92</v>
      </c>
      <c r="E233" s="4" t="s">
        <v>33</v>
      </c>
      <c r="F233" s="4" t="s">
        <v>34</v>
      </c>
      <c r="G233" s="4" t="s">
        <v>35</v>
      </c>
      <c r="H233" s="7">
        <v>2</v>
      </c>
      <c r="I233" s="7">
        <v>59.99</v>
      </c>
      <c r="J233" s="4" t="s">
        <v>28</v>
      </c>
      <c r="K233" s="4" t="s">
        <v>23</v>
      </c>
      <c r="L233" s="4" t="s">
        <v>24</v>
      </c>
      <c r="M233" s="6">
        <v>44579</v>
      </c>
      <c r="N233" s="7">
        <f t="shared" si="6"/>
        <v>119.98</v>
      </c>
      <c r="O233" s="4"/>
      <c r="P233" s="4"/>
      <c r="Q233" s="4">
        <f t="shared" si="7"/>
        <v>29</v>
      </c>
      <c r="R233" s="4"/>
      <c r="S233" s="4" t="str">
        <v>Maria Garcia</v>
      </c>
      <c r="T233" s="4"/>
      <c r="U233" s="4"/>
      <c r="V233" s="4"/>
      <c r="W233" s="4"/>
      <c r="X233" s="4"/>
      <c r="Y233" s="4"/>
      <c r="Z233" s="4"/>
    </row>
    <row r="234" spans="1:26" ht="29.4" thickBot="1" x14ac:dyDescent="0.35">
      <c r="A234" s="4" t="s">
        <v>313</v>
      </c>
      <c r="B234" s="6">
        <v>45644</v>
      </c>
      <c r="C234" s="4" t="s">
        <v>134</v>
      </c>
      <c r="D234" s="4" t="s">
        <v>135</v>
      </c>
      <c r="E234" s="4" t="s">
        <v>33</v>
      </c>
      <c r="F234" s="4" t="s">
        <v>34</v>
      </c>
      <c r="G234" s="4" t="s">
        <v>35</v>
      </c>
      <c r="H234" s="7">
        <v>2</v>
      </c>
      <c r="I234" s="7">
        <v>59.99</v>
      </c>
      <c r="J234" s="4" t="s">
        <v>22</v>
      </c>
      <c r="K234" s="4" t="s">
        <v>52</v>
      </c>
      <c r="L234" s="4" t="s">
        <v>24</v>
      </c>
      <c r="M234" s="6">
        <v>45191</v>
      </c>
      <c r="N234" s="7">
        <f t="shared" si="6"/>
        <v>119.98</v>
      </c>
      <c r="O234" s="4"/>
      <c r="P234" s="4"/>
      <c r="Q234" s="4">
        <f t="shared" si="7"/>
        <v>29</v>
      </c>
      <c r="R234" s="4"/>
      <c r="S234" s="4" t="str">
        <v>Emma Wilson</v>
      </c>
      <c r="T234" s="4"/>
      <c r="U234" s="4"/>
      <c r="V234" s="4"/>
      <c r="W234" s="4"/>
      <c r="X234" s="4"/>
      <c r="Y234" s="4"/>
      <c r="Z234" s="4"/>
    </row>
    <row r="235" spans="1:26" ht="29.4" thickBot="1" x14ac:dyDescent="0.35">
      <c r="A235" s="4" t="s">
        <v>382</v>
      </c>
      <c r="B235" s="6">
        <v>45734</v>
      </c>
      <c r="C235" s="4" t="s">
        <v>194</v>
      </c>
      <c r="D235" s="4" t="s">
        <v>195</v>
      </c>
      <c r="E235" s="4" t="s">
        <v>33</v>
      </c>
      <c r="F235" s="4" t="s">
        <v>34</v>
      </c>
      <c r="G235" s="4" t="s">
        <v>35</v>
      </c>
      <c r="H235" s="7">
        <v>2</v>
      </c>
      <c r="I235" s="7">
        <v>59.99</v>
      </c>
      <c r="J235" s="4" t="s">
        <v>28</v>
      </c>
      <c r="K235" s="4" t="s">
        <v>52</v>
      </c>
      <c r="L235" s="4" t="s">
        <v>24</v>
      </c>
      <c r="M235" s="6">
        <v>45193</v>
      </c>
      <c r="N235" s="7">
        <f t="shared" si="6"/>
        <v>119.98</v>
      </c>
      <c r="O235" s="4"/>
      <c r="P235" s="4"/>
      <c r="Q235" s="4">
        <f t="shared" si="7"/>
        <v>29</v>
      </c>
      <c r="R235" s="4"/>
      <c r="S235" s="4" t="str">
        <v>Frank Torres</v>
      </c>
      <c r="T235" s="4"/>
      <c r="U235" s="4"/>
      <c r="V235" s="4"/>
      <c r="W235" s="4"/>
      <c r="X235" s="4"/>
      <c r="Y235" s="4"/>
      <c r="Z235" s="4"/>
    </row>
    <row r="236" spans="1:26" ht="29.4" thickBot="1" x14ac:dyDescent="0.35">
      <c r="A236" s="4" t="s">
        <v>154</v>
      </c>
      <c r="B236" s="6">
        <v>45444</v>
      </c>
      <c r="C236" s="4" t="s">
        <v>57</v>
      </c>
      <c r="D236" s="4" t="s">
        <v>58</v>
      </c>
      <c r="E236" s="4" t="s">
        <v>119</v>
      </c>
      <c r="F236" s="4" t="s">
        <v>120</v>
      </c>
      <c r="G236" s="4" t="s">
        <v>21</v>
      </c>
      <c r="H236" s="7">
        <v>1</v>
      </c>
      <c r="I236" s="7">
        <v>89.99</v>
      </c>
      <c r="J236" s="4" t="s">
        <v>22</v>
      </c>
      <c r="K236" s="4" t="s">
        <v>42</v>
      </c>
      <c r="L236" s="4" t="s">
        <v>24</v>
      </c>
      <c r="M236" s="6">
        <v>45141</v>
      </c>
      <c r="N236" s="7">
        <f t="shared" si="6"/>
        <v>89.99</v>
      </c>
      <c r="O236" s="4"/>
      <c r="P236" s="4"/>
      <c r="Q236" s="4">
        <f t="shared" si="7"/>
        <v>34</v>
      </c>
      <c r="R236" s="4"/>
      <c r="S236" s="4" t="str">
        <v>Charles Allen</v>
      </c>
      <c r="T236" s="4"/>
      <c r="U236" s="4"/>
      <c r="V236" s="4"/>
      <c r="W236" s="4"/>
      <c r="X236" s="4"/>
      <c r="Y236" s="4"/>
      <c r="Z236" s="4"/>
    </row>
    <row r="237" spans="1:26" ht="29.4" thickBot="1" x14ac:dyDescent="0.35">
      <c r="A237" s="4" t="s">
        <v>159</v>
      </c>
      <c r="B237" s="6">
        <v>45449</v>
      </c>
      <c r="C237" s="4" t="s">
        <v>160</v>
      </c>
      <c r="D237" s="4" t="s">
        <v>161</v>
      </c>
      <c r="E237" s="4" t="s">
        <v>119</v>
      </c>
      <c r="F237" s="4" t="s">
        <v>120</v>
      </c>
      <c r="G237" s="4" t="s">
        <v>21</v>
      </c>
      <c r="H237" s="7">
        <v>1</v>
      </c>
      <c r="I237" s="7">
        <v>89.99</v>
      </c>
      <c r="J237" s="4" t="s">
        <v>28</v>
      </c>
      <c r="K237" s="4" t="s">
        <v>37</v>
      </c>
      <c r="L237" s="4" t="s">
        <v>38</v>
      </c>
      <c r="M237" s="6">
        <v>44582</v>
      </c>
      <c r="N237" s="7">
        <f t="shared" si="6"/>
        <v>89.99</v>
      </c>
      <c r="O237" s="4"/>
      <c r="P237" s="4"/>
      <c r="Q237" s="4">
        <f t="shared" si="7"/>
        <v>34</v>
      </c>
      <c r="R237" s="4"/>
      <c r="S237" s="4" t="str">
        <v>Betty Campbell</v>
      </c>
      <c r="T237" s="4"/>
      <c r="U237" s="4"/>
      <c r="V237" s="4"/>
      <c r="W237" s="4"/>
      <c r="X237" s="4"/>
      <c r="Y237" s="4"/>
      <c r="Z237" s="4"/>
    </row>
    <row r="238" spans="1:26" ht="29.4" thickBot="1" x14ac:dyDescent="0.35">
      <c r="A238" s="4" t="s">
        <v>181</v>
      </c>
      <c r="B238" s="6">
        <v>45475</v>
      </c>
      <c r="C238" s="4" t="s">
        <v>57</v>
      </c>
      <c r="D238" s="4" t="s">
        <v>58</v>
      </c>
      <c r="E238" s="4" t="s">
        <v>119</v>
      </c>
      <c r="F238" s="4" t="s">
        <v>120</v>
      </c>
      <c r="G238" s="4" t="s">
        <v>21</v>
      </c>
      <c r="H238" s="7">
        <v>1</v>
      </c>
      <c r="I238" s="7">
        <v>89.99</v>
      </c>
      <c r="J238" s="4" t="s">
        <v>36</v>
      </c>
      <c r="K238" s="4" t="s">
        <v>52</v>
      </c>
      <c r="L238" s="4" t="s">
        <v>38</v>
      </c>
      <c r="M238" s="6">
        <v>44802</v>
      </c>
      <c r="N238" s="7">
        <f t="shared" si="6"/>
        <v>89.99</v>
      </c>
      <c r="O238" s="4"/>
      <c r="P238" s="4"/>
      <c r="Q238" s="4">
        <f t="shared" si="7"/>
        <v>34</v>
      </c>
      <c r="R238" s="4"/>
      <c r="S238" s="4" t="str">
        <v>Charles Allen</v>
      </c>
      <c r="T238" s="4"/>
      <c r="U238" s="4"/>
      <c r="V238" s="4"/>
      <c r="W238" s="4"/>
      <c r="X238" s="4"/>
      <c r="Y238" s="4"/>
      <c r="Z238" s="4"/>
    </row>
    <row r="239" spans="1:26" ht="29.4" thickBot="1" x14ac:dyDescent="0.35">
      <c r="A239" s="4" t="s">
        <v>182</v>
      </c>
      <c r="B239" s="6">
        <v>45476</v>
      </c>
      <c r="C239" s="4" t="s">
        <v>70</v>
      </c>
      <c r="D239" s="4" t="s">
        <v>71</v>
      </c>
      <c r="E239" s="4" t="s">
        <v>119</v>
      </c>
      <c r="F239" s="4" t="s">
        <v>120</v>
      </c>
      <c r="G239" s="4" t="s">
        <v>21</v>
      </c>
      <c r="H239" s="7">
        <v>1</v>
      </c>
      <c r="I239" s="7">
        <v>89.99</v>
      </c>
      <c r="J239" s="4" t="s">
        <v>22</v>
      </c>
      <c r="K239" s="4" t="s">
        <v>37</v>
      </c>
      <c r="L239" s="4" t="s">
        <v>38</v>
      </c>
      <c r="M239" s="6">
        <v>44611</v>
      </c>
      <c r="N239" s="7">
        <f t="shared" si="6"/>
        <v>89.99</v>
      </c>
      <c r="O239" s="4"/>
      <c r="P239" s="4"/>
      <c r="Q239" s="4">
        <f t="shared" si="7"/>
        <v>34</v>
      </c>
      <c r="R239" s="4"/>
      <c r="S239" s="4" t="str">
        <v>Susan Green</v>
      </c>
      <c r="T239" s="4"/>
      <c r="U239" s="4"/>
      <c r="V239" s="4"/>
      <c r="W239" s="4"/>
      <c r="X239" s="4"/>
      <c r="Y239" s="4"/>
      <c r="Z239" s="4"/>
    </row>
    <row r="240" spans="1:26" ht="29.4" thickBot="1" x14ac:dyDescent="0.35">
      <c r="A240" s="4" t="s">
        <v>216</v>
      </c>
      <c r="B240" s="6">
        <v>45513</v>
      </c>
      <c r="C240" s="4" t="s">
        <v>91</v>
      </c>
      <c r="D240" s="4" t="s">
        <v>92</v>
      </c>
      <c r="E240" s="4" t="s">
        <v>119</v>
      </c>
      <c r="F240" s="4" t="s">
        <v>120</v>
      </c>
      <c r="G240" s="4" t="s">
        <v>21</v>
      </c>
      <c r="H240" s="7">
        <v>1</v>
      </c>
      <c r="I240" s="7">
        <v>89.99</v>
      </c>
      <c r="J240" s="4" t="s">
        <v>28</v>
      </c>
      <c r="K240" s="4" t="s">
        <v>42</v>
      </c>
      <c r="L240" s="4" t="s">
        <v>38</v>
      </c>
      <c r="M240" s="6">
        <v>45393</v>
      </c>
      <c r="N240" s="7">
        <f t="shared" si="6"/>
        <v>89.99</v>
      </c>
      <c r="O240" s="4"/>
      <c r="P240" s="4"/>
      <c r="Q240" s="4">
        <f t="shared" si="7"/>
        <v>34</v>
      </c>
      <c r="R240" s="4"/>
      <c r="S240" s="4" t="str">
        <v>Maria Garcia</v>
      </c>
      <c r="T240" s="4"/>
      <c r="U240" s="4"/>
      <c r="V240" s="4"/>
      <c r="W240" s="4"/>
      <c r="X240" s="4"/>
      <c r="Y240" s="4"/>
      <c r="Z240" s="4"/>
    </row>
    <row r="241" spans="1:26" ht="29.4" thickBot="1" x14ac:dyDescent="0.35">
      <c r="A241" s="4" t="s">
        <v>314</v>
      </c>
      <c r="B241" s="6">
        <v>45645</v>
      </c>
      <c r="C241" s="4" t="s">
        <v>184</v>
      </c>
      <c r="D241" s="4" t="s">
        <v>185</v>
      </c>
      <c r="E241" s="4" t="s">
        <v>119</v>
      </c>
      <c r="F241" s="4" t="s">
        <v>120</v>
      </c>
      <c r="G241" s="4" t="s">
        <v>21</v>
      </c>
      <c r="H241" s="7">
        <v>1</v>
      </c>
      <c r="I241" s="7">
        <v>89.99</v>
      </c>
      <c r="J241" s="4" t="s">
        <v>59</v>
      </c>
      <c r="K241" s="4" t="s">
        <v>23</v>
      </c>
      <c r="L241" s="4" t="s">
        <v>38</v>
      </c>
      <c r="M241" s="6">
        <v>44760</v>
      </c>
      <c r="N241" s="7">
        <f t="shared" si="6"/>
        <v>89.99</v>
      </c>
      <c r="O241" s="4"/>
      <c r="P241" s="4"/>
      <c r="Q241" s="4">
        <f t="shared" si="7"/>
        <v>34</v>
      </c>
      <c r="R241" s="4"/>
      <c r="S241" s="4" t="str">
        <v>David Martinez</v>
      </c>
      <c r="T241" s="4"/>
      <c r="U241" s="4"/>
      <c r="V241" s="4"/>
      <c r="W241" s="4"/>
      <c r="X241" s="4"/>
      <c r="Y241" s="4"/>
      <c r="Z241" s="4"/>
    </row>
    <row r="242" spans="1:26" ht="29.4" thickBot="1" x14ac:dyDescent="0.35">
      <c r="A242" s="4" t="s">
        <v>322</v>
      </c>
      <c r="B242" s="6">
        <v>45655</v>
      </c>
      <c r="C242" s="4" t="s">
        <v>61</v>
      </c>
      <c r="D242" s="4" t="s">
        <v>62</v>
      </c>
      <c r="E242" s="4" t="s">
        <v>119</v>
      </c>
      <c r="F242" s="4" t="s">
        <v>120</v>
      </c>
      <c r="G242" s="4" t="s">
        <v>21</v>
      </c>
      <c r="H242" s="7">
        <v>1</v>
      </c>
      <c r="I242" s="7">
        <v>89.99</v>
      </c>
      <c r="J242" s="4" t="s">
        <v>28</v>
      </c>
      <c r="K242" s="4" t="s">
        <v>37</v>
      </c>
      <c r="L242" s="4" t="s">
        <v>29</v>
      </c>
      <c r="M242" s="6">
        <v>44591</v>
      </c>
      <c r="N242" s="7">
        <f t="shared" si="6"/>
        <v>89.99</v>
      </c>
      <c r="O242" s="4"/>
      <c r="P242" s="4"/>
      <c r="Q242" s="4">
        <f t="shared" si="7"/>
        <v>34</v>
      </c>
      <c r="R242" s="4"/>
      <c r="S242" s="4" t="str">
        <v>Robert Thomas</v>
      </c>
      <c r="T242" s="4"/>
      <c r="U242" s="4"/>
      <c r="V242" s="4"/>
      <c r="W242" s="4"/>
      <c r="X242" s="4"/>
      <c r="Y242" s="4"/>
      <c r="Z242" s="4"/>
    </row>
    <row r="243" spans="1:26" ht="29.4" thickBot="1" x14ac:dyDescent="0.35">
      <c r="A243" s="4" t="s">
        <v>397</v>
      </c>
      <c r="B243" s="6">
        <v>45756</v>
      </c>
      <c r="C243" s="4" t="s">
        <v>61</v>
      </c>
      <c r="D243" s="4" t="s">
        <v>62</v>
      </c>
      <c r="E243" s="4" t="s">
        <v>119</v>
      </c>
      <c r="F243" s="4" t="s">
        <v>120</v>
      </c>
      <c r="G243" s="4" t="s">
        <v>21</v>
      </c>
      <c r="H243" s="7">
        <v>1</v>
      </c>
      <c r="I243" s="7">
        <v>89.99</v>
      </c>
      <c r="J243" s="4" t="s">
        <v>59</v>
      </c>
      <c r="K243" s="4" t="s">
        <v>65</v>
      </c>
      <c r="L243" s="4" t="s">
        <v>24</v>
      </c>
      <c r="M243" s="6">
        <v>45346</v>
      </c>
      <c r="N243" s="7">
        <f t="shared" si="6"/>
        <v>89.99</v>
      </c>
      <c r="O243" s="4"/>
      <c r="P243" s="4"/>
      <c r="Q243" s="4">
        <f t="shared" si="7"/>
        <v>34</v>
      </c>
      <c r="R243" s="4"/>
      <c r="S243" s="4" t="str">
        <v>Robert Thomas</v>
      </c>
      <c r="T243" s="4"/>
      <c r="U243" s="4"/>
      <c r="V243" s="4"/>
      <c r="W243" s="4"/>
      <c r="X243" s="4"/>
      <c r="Y243" s="4"/>
      <c r="Z243" s="4"/>
    </row>
    <row r="244" spans="1:26" ht="29.4" thickBot="1" x14ac:dyDescent="0.35">
      <c r="A244" s="4" t="s">
        <v>148</v>
      </c>
      <c r="B244" s="6">
        <v>45443</v>
      </c>
      <c r="C244" s="4" t="s">
        <v>149</v>
      </c>
      <c r="D244" s="4" t="s">
        <v>150</v>
      </c>
      <c r="E244" s="4" t="s">
        <v>116</v>
      </c>
      <c r="F244" s="4" t="s">
        <v>117</v>
      </c>
      <c r="G244" s="4" t="s">
        <v>35</v>
      </c>
      <c r="H244" s="7">
        <v>1</v>
      </c>
      <c r="I244" s="7">
        <v>79.989999999999995</v>
      </c>
      <c r="J244" s="4" t="s">
        <v>22</v>
      </c>
      <c r="K244" s="4" t="s">
        <v>42</v>
      </c>
      <c r="L244" s="4" t="s">
        <v>38</v>
      </c>
      <c r="M244" s="6">
        <v>44917</v>
      </c>
      <c r="N244" s="7">
        <f t="shared" si="6"/>
        <v>79.989999999999995</v>
      </c>
      <c r="O244" s="4"/>
      <c r="P244" s="4"/>
      <c r="Q244" s="4">
        <f t="shared" si="7"/>
        <v>14</v>
      </c>
      <c r="R244" s="4"/>
      <c r="S244" s="4" t="str">
        <v>Daniel King</v>
      </c>
      <c r="T244" s="4"/>
      <c r="U244" s="4"/>
      <c r="V244" s="4"/>
      <c r="W244" s="4"/>
      <c r="X244" s="4"/>
      <c r="Y244" s="4"/>
      <c r="Z244" s="4"/>
    </row>
    <row r="245" spans="1:26" ht="29.4" thickBot="1" x14ac:dyDescent="0.35">
      <c r="A245" s="4" t="s">
        <v>175</v>
      </c>
      <c r="B245" s="6">
        <v>45469</v>
      </c>
      <c r="C245" s="4" t="s">
        <v>31</v>
      </c>
      <c r="D245" s="4" t="s">
        <v>32</v>
      </c>
      <c r="E245" s="4" t="s">
        <v>116</v>
      </c>
      <c r="F245" s="4" t="s">
        <v>117</v>
      </c>
      <c r="G245" s="4" t="s">
        <v>35</v>
      </c>
      <c r="H245" s="7">
        <v>1</v>
      </c>
      <c r="I245" s="7">
        <v>79.989999999999995</v>
      </c>
      <c r="J245" s="4" t="s">
        <v>36</v>
      </c>
      <c r="K245" s="4" t="s">
        <v>23</v>
      </c>
      <c r="L245" s="4" t="s">
        <v>29</v>
      </c>
      <c r="M245" s="6">
        <v>45352</v>
      </c>
      <c r="N245" s="7">
        <f t="shared" si="6"/>
        <v>79.989999999999995</v>
      </c>
      <c r="O245" s="4"/>
      <c r="P245" s="4"/>
      <c r="Q245" s="4">
        <f t="shared" si="7"/>
        <v>14</v>
      </c>
      <c r="R245" s="4"/>
      <c r="S245" s="4" t="str">
        <v>Kevin Scott</v>
      </c>
      <c r="T245" s="4"/>
      <c r="U245" s="4"/>
      <c r="V245" s="4"/>
      <c r="W245" s="4"/>
      <c r="X245" s="4"/>
      <c r="Y245" s="4"/>
      <c r="Z245" s="4"/>
    </row>
    <row r="246" spans="1:26" ht="29.4" thickBot="1" x14ac:dyDescent="0.35">
      <c r="A246" s="4" t="s">
        <v>244</v>
      </c>
      <c r="B246" s="6">
        <v>45545</v>
      </c>
      <c r="C246" s="4" t="s">
        <v>57</v>
      </c>
      <c r="D246" s="4" t="s">
        <v>58</v>
      </c>
      <c r="E246" s="4" t="s">
        <v>116</v>
      </c>
      <c r="F246" s="4" t="s">
        <v>117</v>
      </c>
      <c r="G246" s="4" t="s">
        <v>35</v>
      </c>
      <c r="H246" s="7">
        <v>1</v>
      </c>
      <c r="I246" s="7">
        <v>79.989999999999995</v>
      </c>
      <c r="J246" s="4" t="s">
        <v>22</v>
      </c>
      <c r="K246" s="4" t="s">
        <v>52</v>
      </c>
      <c r="L246" s="4" t="s">
        <v>24</v>
      </c>
      <c r="M246" s="6">
        <v>44693</v>
      </c>
      <c r="N246" s="7">
        <f t="shared" si="6"/>
        <v>79.989999999999995</v>
      </c>
      <c r="O246" s="4"/>
      <c r="P246" s="4"/>
      <c r="Q246" s="4">
        <f t="shared" si="7"/>
        <v>14</v>
      </c>
      <c r="R246" s="4"/>
      <c r="S246" s="4" t="str">
        <v>Charles Allen</v>
      </c>
      <c r="T246" s="4"/>
      <c r="U246" s="4"/>
      <c r="V246" s="4"/>
      <c r="W246" s="4"/>
      <c r="X246" s="4"/>
      <c r="Y246" s="4"/>
      <c r="Z246" s="4"/>
    </row>
    <row r="247" spans="1:26" ht="29.4" thickBot="1" x14ac:dyDescent="0.35">
      <c r="A247" s="4" t="s">
        <v>336</v>
      </c>
      <c r="B247" s="6">
        <v>45670</v>
      </c>
      <c r="C247" s="4" t="s">
        <v>295</v>
      </c>
      <c r="D247" s="4" t="s">
        <v>296</v>
      </c>
      <c r="E247" s="4" t="s">
        <v>116</v>
      </c>
      <c r="F247" s="4" t="s">
        <v>117</v>
      </c>
      <c r="G247" s="4" t="s">
        <v>35</v>
      </c>
      <c r="H247" s="7">
        <v>1</v>
      </c>
      <c r="I247" s="7">
        <v>79.989999999999995</v>
      </c>
      <c r="J247" s="4" t="s">
        <v>28</v>
      </c>
      <c r="K247" s="4" t="s">
        <v>37</v>
      </c>
      <c r="L247" s="4" t="s">
        <v>24</v>
      </c>
      <c r="M247" s="6">
        <v>45322</v>
      </c>
      <c r="N247" s="7">
        <f t="shared" si="6"/>
        <v>79.989999999999995</v>
      </c>
      <c r="O247" s="4"/>
      <c r="P247" s="4"/>
      <c r="Q247" s="4">
        <f t="shared" si="7"/>
        <v>14</v>
      </c>
      <c r="R247" s="4"/>
      <c r="S247" s="4" t="str">
        <v>Douglas Watson</v>
      </c>
      <c r="T247" s="4"/>
      <c r="U247" s="4"/>
      <c r="V247" s="4"/>
      <c r="W247" s="4"/>
      <c r="X247" s="4"/>
      <c r="Y247" s="4"/>
      <c r="Z247" s="4"/>
    </row>
    <row r="248" spans="1:26" ht="29.4" thickBot="1" x14ac:dyDescent="0.35">
      <c r="A248" s="4" t="s">
        <v>170</v>
      </c>
      <c r="B248" s="6">
        <v>45460</v>
      </c>
      <c r="C248" s="4" t="s">
        <v>160</v>
      </c>
      <c r="D248" s="4" t="s">
        <v>161</v>
      </c>
      <c r="E248" s="4" t="s">
        <v>33</v>
      </c>
      <c r="F248" s="4" t="s">
        <v>34</v>
      </c>
      <c r="G248" s="4" t="s">
        <v>35</v>
      </c>
      <c r="H248" s="7">
        <v>1</v>
      </c>
      <c r="I248" s="7">
        <v>59.99</v>
      </c>
      <c r="J248" s="4" t="s">
        <v>59</v>
      </c>
      <c r="K248" s="4" t="s">
        <v>52</v>
      </c>
      <c r="L248" s="4" t="s">
        <v>29</v>
      </c>
      <c r="M248" s="6">
        <v>45190</v>
      </c>
      <c r="N248" s="7">
        <f t="shared" si="6"/>
        <v>59.99</v>
      </c>
      <c r="O248" s="4"/>
      <c r="P248" s="4"/>
      <c r="Q248" s="4">
        <f t="shared" si="7"/>
        <v>29</v>
      </c>
      <c r="R248" s="4"/>
      <c r="S248" s="4" t="str">
        <v>Betty Campbell</v>
      </c>
      <c r="T248" s="4"/>
      <c r="U248" s="4"/>
      <c r="V248" s="4"/>
      <c r="W248" s="4"/>
      <c r="X248" s="4"/>
      <c r="Y248" s="4"/>
      <c r="Z248" s="4"/>
    </row>
    <row r="249" spans="1:26" ht="29.4" thickBot="1" x14ac:dyDescent="0.35">
      <c r="A249" s="4" t="s">
        <v>292</v>
      </c>
      <c r="B249" s="6">
        <v>45619</v>
      </c>
      <c r="C249" s="4" t="s">
        <v>194</v>
      </c>
      <c r="D249" s="4" t="s">
        <v>195</v>
      </c>
      <c r="E249" s="4" t="s">
        <v>33</v>
      </c>
      <c r="F249" s="4" t="s">
        <v>34</v>
      </c>
      <c r="G249" s="4" t="s">
        <v>35</v>
      </c>
      <c r="H249" s="7">
        <v>1</v>
      </c>
      <c r="I249" s="7">
        <v>59.99</v>
      </c>
      <c r="J249" s="4" t="s">
        <v>59</v>
      </c>
      <c r="K249" s="4" t="s">
        <v>52</v>
      </c>
      <c r="L249" s="4" t="s">
        <v>38</v>
      </c>
      <c r="M249" s="6">
        <v>44560</v>
      </c>
      <c r="N249" s="7">
        <f t="shared" si="6"/>
        <v>59.99</v>
      </c>
      <c r="O249" s="4"/>
      <c r="P249" s="4"/>
      <c r="Q249" s="4">
        <f t="shared" si="7"/>
        <v>29</v>
      </c>
      <c r="R249" s="4"/>
      <c r="S249" s="4" t="str">
        <v>Frank Torres</v>
      </c>
      <c r="T249" s="4"/>
      <c r="U249" s="4"/>
      <c r="V249" s="4"/>
      <c r="W249" s="4"/>
      <c r="X249" s="4"/>
      <c r="Y249" s="4"/>
      <c r="Z249" s="4"/>
    </row>
    <row r="250" spans="1:26" ht="29.4" thickBot="1" x14ac:dyDescent="0.35">
      <c r="A250" s="4" t="s">
        <v>353</v>
      </c>
      <c r="B250" s="6">
        <v>45692</v>
      </c>
      <c r="C250" s="4" t="s">
        <v>327</v>
      </c>
      <c r="D250" s="4" t="s">
        <v>328</v>
      </c>
      <c r="E250" s="4" t="s">
        <v>33</v>
      </c>
      <c r="F250" s="4" t="s">
        <v>34</v>
      </c>
      <c r="G250" s="4" t="s">
        <v>35</v>
      </c>
      <c r="H250" s="7">
        <v>1</v>
      </c>
      <c r="I250" s="7">
        <v>59.99</v>
      </c>
      <c r="J250" s="4" t="s">
        <v>59</v>
      </c>
      <c r="K250" s="4" t="s">
        <v>23</v>
      </c>
      <c r="L250" s="4" t="s">
        <v>38</v>
      </c>
      <c r="M250" s="6">
        <v>45045</v>
      </c>
      <c r="N250" s="7">
        <f t="shared" si="6"/>
        <v>59.99</v>
      </c>
      <c r="O250" s="4"/>
      <c r="P250" s="4"/>
      <c r="Q250" s="4">
        <f t="shared" si="7"/>
        <v>29</v>
      </c>
      <c r="R250" s="4"/>
      <c r="S250" s="4" t="str">
        <v>Arthur Edwards</v>
      </c>
      <c r="T250" s="4"/>
      <c r="U250" s="4"/>
      <c r="V250" s="4"/>
      <c r="W250" s="4"/>
      <c r="X250" s="4"/>
      <c r="Y250" s="4"/>
      <c r="Z250" s="4"/>
    </row>
    <row r="251" spans="1:26" ht="15" thickBot="1" x14ac:dyDescent="0.35">
      <c r="A251" s="4"/>
      <c r="B251" s="4"/>
      <c r="C251" s="4"/>
      <c r="D251" s="4"/>
      <c r="E251" s="4"/>
      <c r="F251" s="4"/>
      <c r="G251" s="4"/>
      <c r="H251" s="4"/>
      <c r="I251" s="4"/>
      <c r="J251" s="4"/>
      <c r="K251" s="4"/>
      <c r="L251" s="4"/>
      <c r="M251" s="4"/>
      <c r="N251" s="7"/>
      <c r="O251" s="4"/>
      <c r="P251" s="4"/>
      <c r="Q251" s="4"/>
      <c r="R251" s="4"/>
      <c r="S251" s="4"/>
      <c r="T251" s="4"/>
      <c r="U251" s="4"/>
      <c r="V251" s="4"/>
      <c r="W251" s="4"/>
      <c r="X251" s="4"/>
      <c r="Y251" s="4"/>
      <c r="Z251" s="4"/>
    </row>
    <row r="252" spans="1:26" ht="15" thickBot="1" x14ac:dyDescent="0.35">
      <c r="A252" s="4"/>
      <c r="B252" s="4"/>
      <c r="C252" s="4"/>
      <c r="D252" s="4"/>
      <c r="E252" s="4"/>
      <c r="F252" s="4"/>
      <c r="G252" s="4"/>
      <c r="H252" s="4"/>
      <c r="I252" s="4"/>
      <c r="J252" s="4"/>
      <c r="K252" s="4"/>
      <c r="L252" s="4"/>
      <c r="M252" s="4"/>
      <c r="N252" s="7"/>
      <c r="O252" s="4"/>
      <c r="P252" s="4"/>
      <c r="Q252" s="4"/>
      <c r="R252" s="4"/>
      <c r="S252" s="4"/>
      <c r="T252" s="4"/>
      <c r="U252" s="4"/>
      <c r="V252" s="4"/>
      <c r="W252" s="4"/>
      <c r="X252" s="4"/>
      <c r="Y252" s="4"/>
      <c r="Z252" s="4"/>
    </row>
    <row r="253" spans="1:26" ht="15" thickBot="1" x14ac:dyDescent="0.35">
      <c r="A253" s="4"/>
      <c r="B253" s="4"/>
      <c r="C253" s="4"/>
      <c r="D253" s="4"/>
      <c r="E253" s="4"/>
      <c r="F253" s="4"/>
      <c r="G253" s="4"/>
      <c r="H253" s="4"/>
      <c r="I253" s="4"/>
      <c r="J253" s="4"/>
      <c r="K253" s="4"/>
      <c r="L253" s="4"/>
      <c r="M253" s="4"/>
      <c r="N253" s="7"/>
      <c r="O253" s="4"/>
      <c r="P253" s="4"/>
      <c r="Q253" s="4"/>
      <c r="R253" s="4"/>
      <c r="S253" s="4"/>
      <c r="T253" s="4"/>
      <c r="U253" s="4"/>
      <c r="V253" s="4"/>
      <c r="W253" s="4"/>
      <c r="X253" s="4"/>
      <c r="Y253" s="4"/>
      <c r="Z253" s="4"/>
    </row>
    <row r="254" spans="1:26" ht="15" thickBot="1" x14ac:dyDescent="0.35">
      <c r="A254" s="4"/>
      <c r="B254" s="4"/>
      <c r="C254" s="4"/>
      <c r="D254" s="4"/>
      <c r="E254" s="4"/>
      <c r="F254" s="4"/>
      <c r="G254" s="4"/>
      <c r="H254" s="4"/>
      <c r="I254" s="4"/>
      <c r="J254" s="4"/>
      <c r="K254" s="4"/>
      <c r="L254" s="4"/>
      <c r="M254" s="4"/>
      <c r="N254" s="7"/>
      <c r="O254" s="4"/>
      <c r="P254" s="4"/>
      <c r="Q254" s="4"/>
      <c r="R254" s="4"/>
      <c r="S254" s="4"/>
      <c r="T254" s="4"/>
      <c r="U254" s="4"/>
      <c r="V254" s="4"/>
      <c r="W254" s="4"/>
      <c r="X254" s="4"/>
      <c r="Y254" s="4"/>
      <c r="Z254" s="4"/>
    </row>
    <row r="255" spans="1:26" ht="15" thickBot="1" x14ac:dyDescent="0.35">
      <c r="A255" s="4"/>
      <c r="B255" s="4"/>
      <c r="C255" s="4"/>
      <c r="D255" s="4"/>
      <c r="E255" s="4"/>
      <c r="F255" s="4"/>
      <c r="G255" s="4"/>
      <c r="H255" s="4"/>
      <c r="I255" s="4"/>
      <c r="J255" s="4"/>
      <c r="K255" s="4"/>
      <c r="L255" s="4"/>
      <c r="M255" s="4"/>
      <c r="N255" s="7"/>
      <c r="O255" s="4"/>
      <c r="P255" s="4"/>
      <c r="Q255" s="4"/>
      <c r="R255" s="4"/>
      <c r="S255" s="4"/>
      <c r="T255" s="4"/>
      <c r="U255" s="4"/>
      <c r="V255" s="4"/>
      <c r="W255" s="4"/>
      <c r="X255" s="4"/>
      <c r="Y255" s="4"/>
      <c r="Z255" s="4"/>
    </row>
    <row r="256" spans="1:26" ht="15" thickBot="1" x14ac:dyDescent="0.3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 thickBot="1" x14ac:dyDescent="0.3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 thickBot="1" x14ac:dyDescent="0.3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 thickBot="1" x14ac:dyDescent="0.3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 thickBot="1" x14ac:dyDescent="0.3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 thickBot="1" x14ac:dyDescent="0.3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 thickBot="1" x14ac:dyDescent="0.3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 thickBot="1" x14ac:dyDescent="0.3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 thickBot="1" x14ac:dyDescent="0.3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 thickBot="1" x14ac:dyDescent="0.3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 thickBot="1" x14ac:dyDescent="0.3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 thickBot="1" x14ac:dyDescent="0.3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 thickBot="1" x14ac:dyDescent="0.3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 thickBot="1" x14ac:dyDescent="0.3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 thickBot="1" x14ac:dyDescent="0.3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 thickBot="1" x14ac:dyDescent="0.3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 thickBot="1" x14ac:dyDescent="0.3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 thickBot="1" x14ac:dyDescent="0.3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 thickBot="1" x14ac:dyDescent="0.3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 thickBot="1" x14ac:dyDescent="0.3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 thickBot="1" x14ac:dyDescent="0.3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 thickBot="1" x14ac:dyDescent="0.3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 thickBot="1" x14ac:dyDescent="0.3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 thickBot="1" x14ac:dyDescent="0.3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 thickBot="1" x14ac:dyDescent="0.3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 thickBot="1" x14ac:dyDescent="0.3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 thickBot="1" x14ac:dyDescent="0.3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 thickBot="1" x14ac:dyDescent="0.3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 thickBot="1" x14ac:dyDescent="0.3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 thickBot="1" x14ac:dyDescent="0.3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 thickBot="1" x14ac:dyDescent="0.3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 thickBot="1" x14ac:dyDescent="0.3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 thickBot="1" x14ac:dyDescent="0.3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 thickBot="1" x14ac:dyDescent="0.3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 thickBot="1" x14ac:dyDescent="0.3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 thickBot="1" x14ac:dyDescent="0.3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 thickBot="1" x14ac:dyDescent="0.3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 thickBot="1" x14ac:dyDescent="0.3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 thickBot="1" x14ac:dyDescent="0.3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 thickBot="1" x14ac:dyDescent="0.3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 thickBot="1" x14ac:dyDescent="0.3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 thickBot="1" x14ac:dyDescent="0.3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 thickBot="1" x14ac:dyDescent="0.3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 thickBot="1" x14ac:dyDescent="0.3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 thickBot="1" x14ac:dyDescent="0.3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 thickBot="1" x14ac:dyDescent="0.3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 thickBot="1" x14ac:dyDescent="0.3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 thickBot="1" x14ac:dyDescent="0.3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 thickBot="1" x14ac:dyDescent="0.3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 thickBot="1" x14ac:dyDescent="0.3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 thickBot="1" x14ac:dyDescent="0.3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 thickBot="1" x14ac:dyDescent="0.3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 thickBot="1" x14ac:dyDescent="0.3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 thickBot="1" x14ac:dyDescent="0.3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 thickBot="1" x14ac:dyDescent="0.3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 thickBot="1" x14ac:dyDescent="0.3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 thickBot="1" x14ac:dyDescent="0.3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 thickBot="1" x14ac:dyDescent="0.3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 thickBot="1" x14ac:dyDescent="0.3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 thickBot="1" x14ac:dyDescent="0.3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 thickBot="1" x14ac:dyDescent="0.3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 thickBot="1" x14ac:dyDescent="0.3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 thickBot="1" x14ac:dyDescent="0.3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 thickBot="1" x14ac:dyDescent="0.3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 thickBot="1" x14ac:dyDescent="0.3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 thickBot="1" x14ac:dyDescent="0.3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 thickBot="1" x14ac:dyDescent="0.3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 thickBot="1" x14ac:dyDescent="0.3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 thickBot="1" x14ac:dyDescent="0.3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 thickBot="1" x14ac:dyDescent="0.3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 thickBot="1" x14ac:dyDescent="0.3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 thickBot="1" x14ac:dyDescent="0.3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 thickBot="1" x14ac:dyDescent="0.3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 thickBot="1" x14ac:dyDescent="0.3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 thickBot="1" x14ac:dyDescent="0.3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 thickBot="1" x14ac:dyDescent="0.3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 thickBot="1" x14ac:dyDescent="0.3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 thickBot="1" x14ac:dyDescent="0.3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 thickBot="1" x14ac:dyDescent="0.3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 thickBot="1" x14ac:dyDescent="0.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 thickBot="1" x14ac:dyDescent="0.3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 thickBot="1" x14ac:dyDescent="0.3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 thickBot="1" x14ac:dyDescent="0.3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 thickBot="1" x14ac:dyDescent="0.3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 thickBot="1" x14ac:dyDescent="0.3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 thickBot="1" x14ac:dyDescent="0.3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 thickBot="1" x14ac:dyDescent="0.3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 thickBot="1" x14ac:dyDescent="0.3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 thickBot="1" x14ac:dyDescent="0.3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 thickBot="1" x14ac:dyDescent="0.3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 thickBot="1" x14ac:dyDescent="0.3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 thickBot="1" x14ac:dyDescent="0.3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 thickBot="1" x14ac:dyDescent="0.3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 thickBot="1" x14ac:dyDescent="0.3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 thickBot="1" x14ac:dyDescent="0.3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 thickBot="1" x14ac:dyDescent="0.3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 thickBot="1" x14ac:dyDescent="0.3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 thickBot="1" x14ac:dyDescent="0.3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 thickBot="1" x14ac:dyDescent="0.3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 thickBot="1" x14ac:dyDescent="0.3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 thickBot="1" x14ac:dyDescent="0.3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 thickBot="1" x14ac:dyDescent="0.3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 thickBot="1" x14ac:dyDescent="0.3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 thickBot="1" x14ac:dyDescent="0.3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 thickBot="1" x14ac:dyDescent="0.3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 thickBot="1" x14ac:dyDescent="0.3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 thickBot="1" x14ac:dyDescent="0.3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 thickBot="1" x14ac:dyDescent="0.3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 thickBot="1" x14ac:dyDescent="0.3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 thickBot="1" x14ac:dyDescent="0.3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 thickBot="1" x14ac:dyDescent="0.3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 thickBot="1" x14ac:dyDescent="0.3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 thickBot="1" x14ac:dyDescent="0.3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 thickBot="1" x14ac:dyDescent="0.3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 thickBot="1" x14ac:dyDescent="0.3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 thickBot="1" x14ac:dyDescent="0.3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 thickBot="1" x14ac:dyDescent="0.3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 thickBot="1" x14ac:dyDescent="0.3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 thickBot="1" x14ac:dyDescent="0.3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 thickBot="1" x14ac:dyDescent="0.3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 thickBot="1" x14ac:dyDescent="0.3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 thickBot="1" x14ac:dyDescent="0.3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 thickBot="1" x14ac:dyDescent="0.3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 thickBot="1" x14ac:dyDescent="0.3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 thickBot="1" x14ac:dyDescent="0.3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 thickBot="1" x14ac:dyDescent="0.3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 thickBot="1" x14ac:dyDescent="0.3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 thickBot="1" x14ac:dyDescent="0.3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 thickBot="1" x14ac:dyDescent="0.3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 thickBot="1" x14ac:dyDescent="0.3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 thickBot="1" x14ac:dyDescent="0.3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 thickBot="1" x14ac:dyDescent="0.3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 thickBot="1" x14ac:dyDescent="0.3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 thickBot="1" x14ac:dyDescent="0.3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 thickBot="1" x14ac:dyDescent="0.3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 thickBot="1" x14ac:dyDescent="0.3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 thickBot="1" x14ac:dyDescent="0.3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 thickBot="1" x14ac:dyDescent="0.3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 thickBot="1" x14ac:dyDescent="0.3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 thickBot="1" x14ac:dyDescent="0.3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 thickBot="1" x14ac:dyDescent="0.3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 thickBot="1" x14ac:dyDescent="0.3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 thickBot="1" x14ac:dyDescent="0.3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 thickBot="1" x14ac:dyDescent="0.3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 thickBot="1" x14ac:dyDescent="0.3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 thickBot="1" x14ac:dyDescent="0.3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 thickBot="1" x14ac:dyDescent="0.3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 thickBot="1" x14ac:dyDescent="0.3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 thickBot="1" x14ac:dyDescent="0.3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 thickBot="1" x14ac:dyDescent="0.3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 thickBot="1" x14ac:dyDescent="0.3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 thickBot="1" x14ac:dyDescent="0.3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 thickBot="1" x14ac:dyDescent="0.3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 thickBot="1" x14ac:dyDescent="0.3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 thickBot="1" x14ac:dyDescent="0.3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 thickBot="1" x14ac:dyDescent="0.3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 thickBot="1" x14ac:dyDescent="0.3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 thickBot="1" x14ac:dyDescent="0.3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 thickBot="1" x14ac:dyDescent="0.3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 thickBot="1" x14ac:dyDescent="0.3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 thickBot="1" x14ac:dyDescent="0.3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 thickBot="1" x14ac:dyDescent="0.3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 thickBot="1" x14ac:dyDescent="0.3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 thickBot="1" x14ac:dyDescent="0.3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 thickBot="1" x14ac:dyDescent="0.3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 thickBot="1" x14ac:dyDescent="0.3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 thickBot="1" x14ac:dyDescent="0.3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 thickBot="1" x14ac:dyDescent="0.3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 thickBot="1" x14ac:dyDescent="0.3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 thickBot="1" x14ac:dyDescent="0.3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 thickBot="1" x14ac:dyDescent="0.3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 thickBot="1" x14ac:dyDescent="0.3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 thickBot="1" x14ac:dyDescent="0.3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 thickBot="1" x14ac:dyDescent="0.3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 thickBot="1" x14ac:dyDescent="0.3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 thickBot="1" x14ac:dyDescent="0.3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 thickBot="1" x14ac:dyDescent="0.3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 thickBot="1" x14ac:dyDescent="0.3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 thickBot="1" x14ac:dyDescent="0.3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 thickBot="1" x14ac:dyDescent="0.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 thickBot="1" x14ac:dyDescent="0.3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 thickBot="1" x14ac:dyDescent="0.3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 thickBot="1" x14ac:dyDescent="0.3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 thickBot="1" x14ac:dyDescent="0.3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 thickBot="1" x14ac:dyDescent="0.3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 thickBot="1" x14ac:dyDescent="0.3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 thickBot="1" x14ac:dyDescent="0.3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 thickBot="1" x14ac:dyDescent="0.3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 thickBot="1" x14ac:dyDescent="0.3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 thickBot="1" x14ac:dyDescent="0.3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 thickBot="1" x14ac:dyDescent="0.3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 thickBot="1" x14ac:dyDescent="0.3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 thickBot="1" x14ac:dyDescent="0.3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 thickBot="1" x14ac:dyDescent="0.3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 thickBot="1" x14ac:dyDescent="0.3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 thickBot="1" x14ac:dyDescent="0.3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 thickBot="1" x14ac:dyDescent="0.3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 thickBot="1" x14ac:dyDescent="0.3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 thickBot="1" x14ac:dyDescent="0.3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 thickBot="1" x14ac:dyDescent="0.3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 thickBot="1" x14ac:dyDescent="0.3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 thickBot="1" x14ac:dyDescent="0.3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 thickBot="1" x14ac:dyDescent="0.3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 thickBot="1" x14ac:dyDescent="0.3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 thickBot="1" x14ac:dyDescent="0.3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 thickBot="1" x14ac:dyDescent="0.3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 thickBot="1" x14ac:dyDescent="0.3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 thickBot="1" x14ac:dyDescent="0.3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 thickBot="1" x14ac:dyDescent="0.3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 thickBot="1" x14ac:dyDescent="0.3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 thickBot="1" x14ac:dyDescent="0.3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 thickBot="1" x14ac:dyDescent="0.3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 thickBot="1" x14ac:dyDescent="0.3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 thickBot="1" x14ac:dyDescent="0.3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 thickBot="1" x14ac:dyDescent="0.3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 thickBot="1" x14ac:dyDescent="0.3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 thickBot="1" x14ac:dyDescent="0.3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 thickBot="1" x14ac:dyDescent="0.3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 thickBot="1" x14ac:dyDescent="0.3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 thickBot="1" x14ac:dyDescent="0.3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 thickBot="1" x14ac:dyDescent="0.3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 thickBot="1" x14ac:dyDescent="0.3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 thickBot="1" x14ac:dyDescent="0.3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 thickBot="1" x14ac:dyDescent="0.3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 thickBot="1" x14ac:dyDescent="0.3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 thickBot="1" x14ac:dyDescent="0.3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 thickBot="1" x14ac:dyDescent="0.3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 thickBot="1" x14ac:dyDescent="0.3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 thickBot="1" x14ac:dyDescent="0.3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 thickBot="1" x14ac:dyDescent="0.3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 thickBot="1" x14ac:dyDescent="0.3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 thickBot="1" x14ac:dyDescent="0.3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 thickBot="1" x14ac:dyDescent="0.3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 thickBot="1" x14ac:dyDescent="0.3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 thickBot="1" x14ac:dyDescent="0.3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 thickBot="1" x14ac:dyDescent="0.3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 thickBot="1" x14ac:dyDescent="0.3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 thickBot="1" x14ac:dyDescent="0.3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 thickBot="1" x14ac:dyDescent="0.3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 thickBot="1" x14ac:dyDescent="0.3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 thickBot="1" x14ac:dyDescent="0.3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 thickBot="1" x14ac:dyDescent="0.3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 thickBot="1" x14ac:dyDescent="0.3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 thickBot="1" x14ac:dyDescent="0.3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 thickBot="1" x14ac:dyDescent="0.3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 thickBot="1" x14ac:dyDescent="0.3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 thickBot="1" x14ac:dyDescent="0.3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 thickBot="1" x14ac:dyDescent="0.3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 thickBot="1" x14ac:dyDescent="0.3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 thickBot="1" x14ac:dyDescent="0.3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 thickBot="1" x14ac:dyDescent="0.3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 thickBot="1" x14ac:dyDescent="0.3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 thickBot="1" x14ac:dyDescent="0.3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 thickBot="1" x14ac:dyDescent="0.3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 thickBot="1" x14ac:dyDescent="0.3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 thickBot="1" x14ac:dyDescent="0.3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 thickBot="1" x14ac:dyDescent="0.3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 thickBot="1" x14ac:dyDescent="0.3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 thickBot="1" x14ac:dyDescent="0.3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 thickBot="1" x14ac:dyDescent="0.3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 thickBot="1" x14ac:dyDescent="0.3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 thickBot="1" x14ac:dyDescent="0.3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 thickBot="1" x14ac:dyDescent="0.3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 thickBot="1" x14ac:dyDescent="0.3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 thickBot="1" x14ac:dyDescent="0.3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 thickBot="1" x14ac:dyDescent="0.3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 thickBot="1" x14ac:dyDescent="0.3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 thickBot="1" x14ac:dyDescent="0.3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 thickBot="1" x14ac:dyDescent="0.3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 thickBot="1" x14ac:dyDescent="0.3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 thickBot="1" x14ac:dyDescent="0.3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 thickBot="1" x14ac:dyDescent="0.3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 thickBot="1" x14ac:dyDescent="0.3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 thickBot="1" x14ac:dyDescent="0.3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 thickBot="1" x14ac:dyDescent="0.3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 thickBot="1" x14ac:dyDescent="0.3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 thickBot="1" x14ac:dyDescent="0.3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 thickBot="1" x14ac:dyDescent="0.3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 thickBot="1" x14ac:dyDescent="0.3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 thickBot="1" x14ac:dyDescent="0.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 thickBot="1" x14ac:dyDescent="0.3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 thickBot="1" x14ac:dyDescent="0.3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 thickBot="1" x14ac:dyDescent="0.3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 thickBot="1" x14ac:dyDescent="0.3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 thickBot="1" x14ac:dyDescent="0.3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 thickBot="1" x14ac:dyDescent="0.3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 thickBot="1" x14ac:dyDescent="0.3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 thickBot="1" x14ac:dyDescent="0.3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 thickBot="1" x14ac:dyDescent="0.3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 thickBot="1" x14ac:dyDescent="0.3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 thickBot="1" x14ac:dyDescent="0.3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 thickBot="1" x14ac:dyDescent="0.3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 thickBot="1" x14ac:dyDescent="0.3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 thickBot="1" x14ac:dyDescent="0.3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 thickBot="1" x14ac:dyDescent="0.3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 thickBot="1" x14ac:dyDescent="0.3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 thickBot="1" x14ac:dyDescent="0.3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 thickBot="1" x14ac:dyDescent="0.3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 thickBot="1" x14ac:dyDescent="0.3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 thickBot="1" x14ac:dyDescent="0.3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 thickBot="1" x14ac:dyDescent="0.3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 thickBot="1" x14ac:dyDescent="0.3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 thickBot="1" x14ac:dyDescent="0.3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 thickBot="1" x14ac:dyDescent="0.3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 thickBot="1" x14ac:dyDescent="0.3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 thickBot="1" x14ac:dyDescent="0.3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 thickBot="1" x14ac:dyDescent="0.3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 thickBot="1" x14ac:dyDescent="0.3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 thickBot="1" x14ac:dyDescent="0.3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 thickBot="1" x14ac:dyDescent="0.3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 thickBot="1" x14ac:dyDescent="0.3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 thickBot="1" x14ac:dyDescent="0.3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 thickBot="1" x14ac:dyDescent="0.3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 thickBot="1" x14ac:dyDescent="0.3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 thickBot="1" x14ac:dyDescent="0.3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 thickBot="1" x14ac:dyDescent="0.3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 thickBot="1" x14ac:dyDescent="0.3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 thickBot="1" x14ac:dyDescent="0.3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 thickBot="1" x14ac:dyDescent="0.3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 thickBot="1" x14ac:dyDescent="0.3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 thickBot="1" x14ac:dyDescent="0.3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 thickBot="1" x14ac:dyDescent="0.3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 thickBot="1" x14ac:dyDescent="0.3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 thickBot="1" x14ac:dyDescent="0.3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 thickBot="1" x14ac:dyDescent="0.3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 thickBot="1" x14ac:dyDescent="0.3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 thickBot="1" x14ac:dyDescent="0.3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 thickBot="1" x14ac:dyDescent="0.3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 thickBot="1" x14ac:dyDescent="0.3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 thickBot="1" x14ac:dyDescent="0.3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 thickBot="1" x14ac:dyDescent="0.3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 thickBot="1" x14ac:dyDescent="0.3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 thickBot="1" x14ac:dyDescent="0.3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 thickBot="1" x14ac:dyDescent="0.3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 thickBot="1" x14ac:dyDescent="0.3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 thickBot="1" x14ac:dyDescent="0.3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 thickBot="1" x14ac:dyDescent="0.3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 thickBot="1" x14ac:dyDescent="0.3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 thickBot="1" x14ac:dyDescent="0.3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 thickBot="1" x14ac:dyDescent="0.3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 thickBot="1" x14ac:dyDescent="0.3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 thickBot="1" x14ac:dyDescent="0.3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 thickBot="1" x14ac:dyDescent="0.3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 thickBot="1" x14ac:dyDescent="0.3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 thickBot="1" x14ac:dyDescent="0.3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 thickBot="1" x14ac:dyDescent="0.3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 thickBot="1" x14ac:dyDescent="0.3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 thickBot="1" x14ac:dyDescent="0.3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 thickBot="1" x14ac:dyDescent="0.3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 thickBot="1" x14ac:dyDescent="0.3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 thickBot="1" x14ac:dyDescent="0.3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 thickBot="1" x14ac:dyDescent="0.3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 thickBot="1" x14ac:dyDescent="0.3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 thickBot="1" x14ac:dyDescent="0.3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 thickBot="1" x14ac:dyDescent="0.3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 thickBot="1" x14ac:dyDescent="0.3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 thickBot="1" x14ac:dyDescent="0.3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 thickBot="1" x14ac:dyDescent="0.3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 thickBot="1" x14ac:dyDescent="0.3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 thickBot="1" x14ac:dyDescent="0.3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 thickBot="1" x14ac:dyDescent="0.3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 thickBot="1" x14ac:dyDescent="0.3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 thickBot="1" x14ac:dyDescent="0.3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 thickBot="1" x14ac:dyDescent="0.3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 thickBot="1" x14ac:dyDescent="0.3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 thickBot="1" x14ac:dyDescent="0.3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 thickBot="1" x14ac:dyDescent="0.3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 thickBot="1" x14ac:dyDescent="0.3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 thickBot="1" x14ac:dyDescent="0.3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 thickBot="1" x14ac:dyDescent="0.3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 thickBot="1" x14ac:dyDescent="0.3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 thickBot="1" x14ac:dyDescent="0.3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 thickBot="1" x14ac:dyDescent="0.3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 thickBot="1" x14ac:dyDescent="0.3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 thickBot="1" x14ac:dyDescent="0.3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 thickBot="1" x14ac:dyDescent="0.3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 thickBot="1" x14ac:dyDescent="0.3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 thickBot="1" x14ac:dyDescent="0.3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 thickBot="1" x14ac:dyDescent="0.3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 thickBot="1" x14ac:dyDescent="0.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 thickBot="1" x14ac:dyDescent="0.3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 thickBot="1" x14ac:dyDescent="0.3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 thickBot="1" x14ac:dyDescent="0.3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 thickBot="1" x14ac:dyDescent="0.3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 thickBot="1" x14ac:dyDescent="0.3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 thickBot="1" x14ac:dyDescent="0.3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 thickBot="1" x14ac:dyDescent="0.3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 thickBot="1" x14ac:dyDescent="0.3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 thickBot="1" x14ac:dyDescent="0.3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 thickBot="1" x14ac:dyDescent="0.3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 thickBot="1" x14ac:dyDescent="0.3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 thickBot="1" x14ac:dyDescent="0.3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 thickBot="1" x14ac:dyDescent="0.3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 thickBot="1" x14ac:dyDescent="0.3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 thickBot="1" x14ac:dyDescent="0.3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 thickBot="1" x14ac:dyDescent="0.3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 thickBot="1" x14ac:dyDescent="0.3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 thickBot="1" x14ac:dyDescent="0.3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 thickBot="1" x14ac:dyDescent="0.3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 thickBot="1" x14ac:dyDescent="0.3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 thickBot="1" x14ac:dyDescent="0.3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 thickBot="1" x14ac:dyDescent="0.3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 thickBot="1" x14ac:dyDescent="0.3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 thickBot="1" x14ac:dyDescent="0.3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 thickBot="1" x14ac:dyDescent="0.3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 thickBot="1" x14ac:dyDescent="0.3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 thickBot="1" x14ac:dyDescent="0.3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 thickBot="1" x14ac:dyDescent="0.3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 thickBot="1" x14ac:dyDescent="0.3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 thickBot="1" x14ac:dyDescent="0.3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 thickBot="1" x14ac:dyDescent="0.3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 thickBot="1" x14ac:dyDescent="0.3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 thickBot="1" x14ac:dyDescent="0.3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 thickBot="1" x14ac:dyDescent="0.3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 thickBot="1" x14ac:dyDescent="0.3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 thickBot="1" x14ac:dyDescent="0.3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 thickBot="1" x14ac:dyDescent="0.3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 thickBot="1" x14ac:dyDescent="0.3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 thickBot="1" x14ac:dyDescent="0.3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 thickBot="1" x14ac:dyDescent="0.3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 thickBot="1" x14ac:dyDescent="0.3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 thickBot="1" x14ac:dyDescent="0.3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 thickBot="1" x14ac:dyDescent="0.3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 thickBot="1" x14ac:dyDescent="0.3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 thickBot="1" x14ac:dyDescent="0.3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 thickBot="1" x14ac:dyDescent="0.3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 thickBot="1" x14ac:dyDescent="0.3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 thickBot="1" x14ac:dyDescent="0.3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 thickBot="1" x14ac:dyDescent="0.3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 thickBot="1" x14ac:dyDescent="0.3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 thickBot="1" x14ac:dyDescent="0.3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 thickBot="1" x14ac:dyDescent="0.3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 thickBot="1" x14ac:dyDescent="0.3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 thickBot="1" x14ac:dyDescent="0.3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 thickBot="1" x14ac:dyDescent="0.3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 thickBot="1" x14ac:dyDescent="0.3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 thickBot="1" x14ac:dyDescent="0.3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 thickBot="1" x14ac:dyDescent="0.3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 thickBot="1" x14ac:dyDescent="0.3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 thickBot="1" x14ac:dyDescent="0.3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 thickBot="1" x14ac:dyDescent="0.3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 thickBot="1" x14ac:dyDescent="0.3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 thickBot="1" x14ac:dyDescent="0.3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 thickBot="1" x14ac:dyDescent="0.3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 thickBot="1" x14ac:dyDescent="0.3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 thickBot="1" x14ac:dyDescent="0.3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 thickBot="1" x14ac:dyDescent="0.3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 thickBot="1" x14ac:dyDescent="0.3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 thickBot="1" x14ac:dyDescent="0.3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 thickBot="1" x14ac:dyDescent="0.3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 thickBot="1" x14ac:dyDescent="0.3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 thickBot="1" x14ac:dyDescent="0.3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 thickBot="1" x14ac:dyDescent="0.3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 thickBot="1" x14ac:dyDescent="0.3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 thickBot="1" x14ac:dyDescent="0.3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 thickBot="1" x14ac:dyDescent="0.3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 thickBot="1" x14ac:dyDescent="0.3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 thickBot="1" x14ac:dyDescent="0.3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 thickBot="1" x14ac:dyDescent="0.3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 thickBot="1" x14ac:dyDescent="0.3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 thickBot="1" x14ac:dyDescent="0.3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 thickBot="1" x14ac:dyDescent="0.3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 thickBot="1" x14ac:dyDescent="0.3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 thickBot="1" x14ac:dyDescent="0.3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 thickBot="1" x14ac:dyDescent="0.3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 thickBot="1" x14ac:dyDescent="0.3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 thickBot="1" x14ac:dyDescent="0.3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 thickBot="1" x14ac:dyDescent="0.3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 thickBot="1" x14ac:dyDescent="0.3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 thickBot="1" x14ac:dyDescent="0.3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 thickBot="1" x14ac:dyDescent="0.3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 thickBot="1" x14ac:dyDescent="0.3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 thickBot="1" x14ac:dyDescent="0.3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 thickBot="1" x14ac:dyDescent="0.3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 thickBot="1" x14ac:dyDescent="0.3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 thickBot="1" x14ac:dyDescent="0.3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 thickBot="1" x14ac:dyDescent="0.3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 thickBot="1" x14ac:dyDescent="0.3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 thickBot="1" x14ac:dyDescent="0.3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 thickBot="1" x14ac:dyDescent="0.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 thickBot="1" x14ac:dyDescent="0.3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 thickBot="1" x14ac:dyDescent="0.3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 thickBot="1" x14ac:dyDescent="0.3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 thickBot="1" x14ac:dyDescent="0.3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 thickBot="1" x14ac:dyDescent="0.3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 thickBot="1" x14ac:dyDescent="0.3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 thickBot="1" x14ac:dyDescent="0.3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 thickBot="1" x14ac:dyDescent="0.3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 thickBot="1" x14ac:dyDescent="0.3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 thickBot="1" x14ac:dyDescent="0.3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 thickBot="1" x14ac:dyDescent="0.3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 thickBot="1" x14ac:dyDescent="0.3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 thickBot="1" x14ac:dyDescent="0.3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 thickBot="1" x14ac:dyDescent="0.3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 thickBot="1" x14ac:dyDescent="0.3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 thickBot="1" x14ac:dyDescent="0.3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 thickBot="1" x14ac:dyDescent="0.3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 thickBot="1" x14ac:dyDescent="0.3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 thickBot="1" x14ac:dyDescent="0.3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 thickBot="1" x14ac:dyDescent="0.3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 thickBot="1" x14ac:dyDescent="0.3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 thickBot="1" x14ac:dyDescent="0.3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 thickBot="1" x14ac:dyDescent="0.3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 thickBot="1" x14ac:dyDescent="0.3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 thickBot="1" x14ac:dyDescent="0.3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 thickBot="1" x14ac:dyDescent="0.3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 thickBot="1" x14ac:dyDescent="0.3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 thickBot="1" x14ac:dyDescent="0.3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 thickBot="1" x14ac:dyDescent="0.3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 thickBot="1" x14ac:dyDescent="0.3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 thickBot="1" x14ac:dyDescent="0.3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 thickBot="1" x14ac:dyDescent="0.3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 thickBot="1" x14ac:dyDescent="0.3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 thickBot="1" x14ac:dyDescent="0.3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 thickBot="1" x14ac:dyDescent="0.3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 thickBot="1" x14ac:dyDescent="0.3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 thickBot="1" x14ac:dyDescent="0.3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 thickBot="1" x14ac:dyDescent="0.3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 thickBot="1" x14ac:dyDescent="0.3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 thickBot="1" x14ac:dyDescent="0.3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 thickBot="1" x14ac:dyDescent="0.3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 thickBot="1" x14ac:dyDescent="0.3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 thickBot="1" x14ac:dyDescent="0.3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 thickBot="1" x14ac:dyDescent="0.3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 thickBot="1" x14ac:dyDescent="0.3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 thickBot="1" x14ac:dyDescent="0.3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 thickBot="1" x14ac:dyDescent="0.3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 thickBot="1" x14ac:dyDescent="0.3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 thickBot="1" x14ac:dyDescent="0.3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 thickBot="1" x14ac:dyDescent="0.3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 thickBot="1" x14ac:dyDescent="0.3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 thickBot="1" x14ac:dyDescent="0.3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 thickBot="1" x14ac:dyDescent="0.3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 thickBot="1" x14ac:dyDescent="0.3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 thickBot="1" x14ac:dyDescent="0.3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 thickBot="1" x14ac:dyDescent="0.3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 thickBot="1" x14ac:dyDescent="0.3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 thickBot="1" x14ac:dyDescent="0.3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 thickBot="1" x14ac:dyDescent="0.3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 thickBot="1" x14ac:dyDescent="0.3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 thickBot="1" x14ac:dyDescent="0.3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 thickBot="1" x14ac:dyDescent="0.3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 thickBot="1" x14ac:dyDescent="0.3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 thickBot="1" x14ac:dyDescent="0.3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 thickBot="1" x14ac:dyDescent="0.3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 thickBot="1" x14ac:dyDescent="0.3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 thickBot="1" x14ac:dyDescent="0.3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 thickBot="1" x14ac:dyDescent="0.3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 thickBot="1" x14ac:dyDescent="0.3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 thickBot="1" x14ac:dyDescent="0.3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 thickBot="1" x14ac:dyDescent="0.3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 thickBot="1" x14ac:dyDescent="0.3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 thickBot="1" x14ac:dyDescent="0.3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 thickBot="1" x14ac:dyDescent="0.3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 thickBot="1" x14ac:dyDescent="0.3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 thickBot="1" x14ac:dyDescent="0.3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 thickBot="1" x14ac:dyDescent="0.3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 thickBot="1" x14ac:dyDescent="0.3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 thickBot="1" x14ac:dyDescent="0.3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 thickBot="1" x14ac:dyDescent="0.3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 thickBot="1" x14ac:dyDescent="0.3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 thickBot="1" x14ac:dyDescent="0.3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 thickBot="1" x14ac:dyDescent="0.3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 thickBot="1" x14ac:dyDescent="0.3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 thickBot="1" x14ac:dyDescent="0.3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 thickBot="1" x14ac:dyDescent="0.3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 thickBot="1" x14ac:dyDescent="0.3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 thickBot="1" x14ac:dyDescent="0.3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 thickBot="1" x14ac:dyDescent="0.3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 thickBot="1" x14ac:dyDescent="0.3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 thickBot="1" x14ac:dyDescent="0.3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 thickBot="1" x14ac:dyDescent="0.3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 thickBot="1" x14ac:dyDescent="0.3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 thickBot="1" x14ac:dyDescent="0.3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 thickBot="1" x14ac:dyDescent="0.3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 thickBot="1" x14ac:dyDescent="0.3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 thickBot="1" x14ac:dyDescent="0.3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 thickBot="1" x14ac:dyDescent="0.3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 thickBot="1" x14ac:dyDescent="0.3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 thickBot="1" x14ac:dyDescent="0.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 thickBot="1" x14ac:dyDescent="0.3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 thickBot="1" x14ac:dyDescent="0.3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 thickBot="1" x14ac:dyDescent="0.3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 thickBot="1" x14ac:dyDescent="0.3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 thickBot="1" x14ac:dyDescent="0.3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 thickBot="1" x14ac:dyDescent="0.3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 thickBot="1" x14ac:dyDescent="0.3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 thickBot="1" x14ac:dyDescent="0.3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 thickBot="1" x14ac:dyDescent="0.3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 thickBot="1" x14ac:dyDescent="0.3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 thickBot="1" x14ac:dyDescent="0.3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 thickBot="1" x14ac:dyDescent="0.3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 thickBot="1" x14ac:dyDescent="0.3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 thickBot="1" x14ac:dyDescent="0.3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 thickBot="1" x14ac:dyDescent="0.3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 thickBot="1" x14ac:dyDescent="0.3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 thickBot="1" x14ac:dyDescent="0.3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 thickBot="1" x14ac:dyDescent="0.3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 thickBot="1" x14ac:dyDescent="0.3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 thickBot="1" x14ac:dyDescent="0.3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 thickBot="1" x14ac:dyDescent="0.3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 thickBot="1" x14ac:dyDescent="0.3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 thickBot="1" x14ac:dyDescent="0.3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 thickBot="1" x14ac:dyDescent="0.3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 thickBot="1" x14ac:dyDescent="0.3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 thickBot="1" x14ac:dyDescent="0.3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 thickBot="1" x14ac:dyDescent="0.3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 thickBot="1" x14ac:dyDescent="0.3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 thickBot="1" x14ac:dyDescent="0.3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 thickBot="1" x14ac:dyDescent="0.3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 thickBot="1" x14ac:dyDescent="0.3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 thickBot="1" x14ac:dyDescent="0.3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 thickBot="1" x14ac:dyDescent="0.3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 thickBot="1" x14ac:dyDescent="0.3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 thickBot="1" x14ac:dyDescent="0.3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 thickBot="1" x14ac:dyDescent="0.3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 thickBot="1" x14ac:dyDescent="0.3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 thickBot="1" x14ac:dyDescent="0.3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 thickBot="1" x14ac:dyDescent="0.3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 thickBot="1" x14ac:dyDescent="0.3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 thickBot="1" x14ac:dyDescent="0.3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 thickBot="1" x14ac:dyDescent="0.3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 thickBot="1" x14ac:dyDescent="0.3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 thickBot="1" x14ac:dyDescent="0.3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 thickBot="1" x14ac:dyDescent="0.3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 thickBot="1" x14ac:dyDescent="0.3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 thickBot="1" x14ac:dyDescent="0.3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 thickBot="1" x14ac:dyDescent="0.3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 thickBot="1" x14ac:dyDescent="0.3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 thickBot="1" x14ac:dyDescent="0.3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 thickBot="1" x14ac:dyDescent="0.3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 thickBot="1" x14ac:dyDescent="0.3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 thickBot="1" x14ac:dyDescent="0.3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 thickBot="1" x14ac:dyDescent="0.3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 thickBot="1" x14ac:dyDescent="0.3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 thickBot="1" x14ac:dyDescent="0.3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 thickBot="1" x14ac:dyDescent="0.3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 thickBot="1" x14ac:dyDescent="0.3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 thickBot="1" x14ac:dyDescent="0.3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 thickBot="1" x14ac:dyDescent="0.3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 thickBot="1" x14ac:dyDescent="0.3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 thickBot="1" x14ac:dyDescent="0.3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 thickBot="1" x14ac:dyDescent="0.3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 thickBot="1" x14ac:dyDescent="0.3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 thickBot="1" x14ac:dyDescent="0.3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 thickBot="1" x14ac:dyDescent="0.3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 thickBot="1" x14ac:dyDescent="0.3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 thickBot="1" x14ac:dyDescent="0.3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 thickBot="1" x14ac:dyDescent="0.3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 thickBot="1" x14ac:dyDescent="0.3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 thickBot="1" x14ac:dyDescent="0.3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 thickBot="1" x14ac:dyDescent="0.3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 thickBot="1" x14ac:dyDescent="0.3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 thickBot="1" x14ac:dyDescent="0.3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 thickBot="1" x14ac:dyDescent="0.3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 thickBot="1" x14ac:dyDescent="0.3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 thickBot="1" x14ac:dyDescent="0.3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 thickBot="1" x14ac:dyDescent="0.3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 thickBot="1" x14ac:dyDescent="0.3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 thickBot="1" x14ac:dyDescent="0.3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 thickBot="1" x14ac:dyDescent="0.3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 thickBot="1" x14ac:dyDescent="0.3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 thickBot="1" x14ac:dyDescent="0.3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 thickBot="1" x14ac:dyDescent="0.3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 thickBot="1" x14ac:dyDescent="0.3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 thickBot="1" x14ac:dyDescent="0.3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 thickBot="1" x14ac:dyDescent="0.3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 thickBot="1" x14ac:dyDescent="0.3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 thickBot="1" x14ac:dyDescent="0.3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 thickBot="1" x14ac:dyDescent="0.3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 thickBot="1" x14ac:dyDescent="0.3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 thickBot="1" x14ac:dyDescent="0.3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 thickBot="1" x14ac:dyDescent="0.3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 thickBot="1" x14ac:dyDescent="0.3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 thickBot="1" x14ac:dyDescent="0.3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 thickBot="1" x14ac:dyDescent="0.3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 thickBot="1" x14ac:dyDescent="0.3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 thickBot="1" x14ac:dyDescent="0.3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 thickBot="1" x14ac:dyDescent="0.3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 thickBot="1" x14ac:dyDescent="0.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 thickBot="1" x14ac:dyDescent="0.3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 thickBot="1" x14ac:dyDescent="0.3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 thickBot="1" x14ac:dyDescent="0.3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 thickBot="1" x14ac:dyDescent="0.3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 thickBot="1" x14ac:dyDescent="0.3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 thickBot="1" x14ac:dyDescent="0.3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 thickBot="1" x14ac:dyDescent="0.3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 thickBot="1" x14ac:dyDescent="0.3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 thickBot="1" x14ac:dyDescent="0.3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 thickBot="1" x14ac:dyDescent="0.3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 thickBot="1" x14ac:dyDescent="0.3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 thickBot="1" x14ac:dyDescent="0.3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 thickBot="1" x14ac:dyDescent="0.3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 thickBot="1" x14ac:dyDescent="0.3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 thickBot="1" x14ac:dyDescent="0.3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 thickBot="1" x14ac:dyDescent="0.3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 thickBot="1" x14ac:dyDescent="0.3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 thickBot="1" x14ac:dyDescent="0.3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 thickBot="1" x14ac:dyDescent="0.3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 thickBot="1" x14ac:dyDescent="0.3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 thickBot="1" x14ac:dyDescent="0.3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 thickBot="1" x14ac:dyDescent="0.3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 thickBot="1" x14ac:dyDescent="0.3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 thickBot="1" x14ac:dyDescent="0.3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 thickBot="1" x14ac:dyDescent="0.3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 thickBot="1" x14ac:dyDescent="0.3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 thickBot="1" x14ac:dyDescent="0.3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 thickBot="1" x14ac:dyDescent="0.3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 thickBot="1" x14ac:dyDescent="0.3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 thickBot="1" x14ac:dyDescent="0.3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 thickBot="1" x14ac:dyDescent="0.3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 thickBot="1" x14ac:dyDescent="0.3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 thickBot="1" x14ac:dyDescent="0.3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 thickBot="1" x14ac:dyDescent="0.3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 thickBot="1" x14ac:dyDescent="0.3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 thickBot="1" x14ac:dyDescent="0.3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 thickBot="1" x14ac:dyDescent="0.3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 thickBot="1" x14ac:dyDescent="0.3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 thickBot="1" x14ac:dyDescent="0.3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 thickBot="1" x14ac:dyDescent="0.3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 thickBot="1" x14ac:dyDescent="0.3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 thickBot="1" x14ac:dyDescent="0.3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 thickBot="1" x14ac:dyDescent="0.3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 thickBot="1" x14ac:dyDescent="0.3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 thickBot="1" x14ac:dyDescent="0.3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 thickBot="1" x14ac:dyDescent="0.3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 thickBot="1" x14ac:dyDescent="0.3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 thickBot="1" x14ac:dyDescent="0.3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 thickBot="1" x14ac:dyDescent="0.3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 thickBot="1" x14ac:dyDescent="0.3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 thickBot="1" x14ac:dyDescent="0.3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 thickBot="1" x14ac:dyDescent="0.3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 thickBot="1" x14ac:dyDescent="0.3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 thickBot="1" x14ac:dyDescent="0.3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 thickBot="1" x14ac:dyDescent="0.3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 thickBot="1" x14ac:dyDescent="0.3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 thickBot="1" x14ac:dyDescent="0.3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 thickBot="1" x14ac:dyDescent="0.3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 thickBot="1" x14ac:dyDescent="0.3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 thickBot="1" x14ac:dyDescent="0.3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 thickBot="1" x14ac:dyDescent="0.3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 thickBot="1" x14ac:dyDescent="0.3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 thickBot="1" x14ac:dyDescent="0.3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 thickBot="1" x14ac:dyDescent="0.3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scenarios current="2" sqref="N2">
    <scenario name="best case" locked="1" count="2" user="ANKAN" comment="Created by ANKAN on 2/7/2026">
      <inputCells r="H92" val="10"/>
      <inputCells r="I92" val="900"/>
    </scenario>
    <scenario name="average case" locked="1" count="2" user="ANKAN" comment="Created by ANKAN on 2/7/2026">
      <inputCells r="H92" val="5"/>
      <inputCells r="I92" val="700"/>
    </scenario>
    <scenario name="worst case" locked="1" count="2" user="ANKAN" comment="Created by ANKAN on 2/7/2026">
      <inputCells r="H92" val="2"/>
      <inputCells r="I92" val="59.99"/>
    </scenario>
  </scenarios>
  <sortState xmlns:xlrd2="http://schemas.microsoft.com/office/spreadsheetml/2017/richdata2" ref="A2:N1000">
    <sortCondition descending="1" ref="N1"/>
  </sortState>
  <conditionalFormatting sqref="F1:F1048576">
    <cfRule type="top10" dxfId="3" priority="4" rank="1"/>
  </conditionalFormatting>
  <conditionalFormatting sqref="G1:G1048576">
    <cfRule type="top10" dxfId="2" priority="3" rank="10"/>
  </conditionalFormatting>
  <conditionalFormatting sqref="K1:K1048576">
    <cfRule type="top10" dxfId="1" priority="2" rank="1"/>
  </conditionalFormatting>
  <conditionalFormatting sqref="N1:N1048576">
    <cfRule type="iconSet" priority="5">
      <iconSet iconSet="3Arrows">
        <cfvo type="percent" val="0"/>
        <cfvo type="percent" val="33"/>
        <cfvo type="percent" val="67"/>
      </iconSet>
    </cfRule>
  </conditionalFormatting>
  <conditionalFormatting sqref="L1:L1048576">
    <cfRule type="cellIs" dxfId="0" priority="1" operator="equal">
      <formula>"Premium"</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31"/>
  <sheetViews>
    <sheetView workbookViewId="0">
      <selection activeCell="Q19" sqref="Q19"/>
    </sheetView>
  </sheetViews>
  <sheetFormatPr defaultRowHeight="14.4" x14ac:dyDescent="0.3"/>
  <sheetData>
    <row r="1" spans="1:14" x14ac:dyDescent="0.3">
      <c r="A1" s="10" t="s">
        <v>16</v>
      </c>
      <c r="B1" s="10">
        <v>45393</v>
      </c>
      <c r="C1" s="10" t="s">
        <v>17</v>
      </c>
      <c r="D1" s="10" t="s">
        <v>18</v>
      </c>
      <c r="E1" s="10" t="s">
        <v>19</v>
      </c>
      <c r="F1" s="10" t="s">
        <v>20</v>
      </c>
      <c r="G1" s="10" t="s">
        <v>21</v>
      </c>
      <c r="H1" s="10">
        <v>3</v>
      </c>
      <c r="I1" s="10">
        <v>249.99</v>
      </c>
      <c r="J1" s="10" t="s">
        <v>22</v>
      </c>
      <c r="K1" s="10" t="s">
        <v>23</v>
      </c>
      <c r="L1" s="10" t="s">
        <v>24</v>
      </c>
      <c r="M1" s="10">
        <v>44425</v>
      </c>
      <c r="N1" s="10">
        <v>749.97</v>
      </c>
    </row>
    <row r="2" spans="1:14" x14ac:dyDescent="0.3">
      <c r="A2" s="10" t="s">
        <v>25</v>
      </c>
      <c r="B2" s="10">
        <v>45396</v>
      </c>
      <c r="C2" s="10" t="s">
        <v>26</v>
      </c>
      <c r="D2" s="10" t="s">
        <v>27</v>
      </c>
      <c r="E2" s="10" t="s">
        <v>19</v>
      </c>
      <c r="F2" s="10" t="s">
        <v>20</v>
      </c>
      <c r="G2" s="10" t="s">
        <v>21</v>
      </c>
      <c r="H2" s="10">
        <v>3</v>
      </c>
      <c r="I2" s="10">
        <v>249.99</v>
      </c>
      <c r="J2" s="10" t="s">
        <v>28</v>
      </c>
      <c r="K2" s="10" t="s">
        <v>23</v>
      </c>
      <c r="L2" s="10" t="s">
        <v>29</v>
      </c>
      <c r="M2" s="10">
        <v>44575</v>
      </c>
      <c r="N2" s="10">
        <v>749.97</v>
      </c>
    </row>
    <row r="3" spans="1:14" x14ac:dyDescent="0.3">
      <c r="A3" s="10" t="s">
        <v>53</v>
      </c>
      <c r="B3" s="10">
        <v>45403</v>
      </c>
      <c r="C3" s="10" t="s">
        <v>50</v>
      </c>
      <c r="D3" s="10" t="s">
        <v>51</v>
      </c>
      <c r="E3" s="10" t="s">
        <v>54</v>
      </c>
      <c r="F3" s="10" t="s">
        <v>55</v>
      </c>
      <c r="G3" s="10" t="s">
        <v>21</v>
      </c>
      <c r="H3" s="10">
        <v>5</v>
      </c>
      <c r="I3" s="10">
        <v>149.99</v>
      </c>
      <c r="J3" s="10" t="s">
        <v>28</v>
      </c>
      <c r="K3" s="10" t="s">
        <v>23</v>
      </c>
      <c r="L3" s="10" t="s">
        <v>38</v>
      </c>
      <c r="M3" s="10">
        <v>44418</v>
      </c>
      <c r="N3" s="10">
        <v>749.95</v>
      </c>
    </row>
    <row r="4" spans="1:14" x14ac:dyDescent="0.3">
      <c r="A4" s="10" t="s">
        <v>60</v>
      </c>
      <c r="B4" s="10">
        <v>45405</v>
      </c>
      <c r="C4" s="10" t="s">
        <v>61</v>
      </c>
      <c r="D4" s="10" t="s">
        <v>62</v>
      </c>
      <c r="E4" s="10" t="s">
        <v>63</v>
      </c>
      <c r="F4" s="10" t="s">
        <v>64</v>
      </c>
      <c r="G4" s="10" t="s">
        <v>21</v>
      </c>
      <c r="H4" s="10">
        <v>3</v>
      </c>
      <c r="I4" s="10">
        <v>899.99</v>
      </c>
      <c r="J4" s="10" t="s">
        <v>36</v>
      </c>
      <c r="K4" s="10" t="s">
        <v>65</v>
      </c>
      <c r="L4" s="10" t="s">
        <v>38</v>
      </c>
      <c r="M4" s="10">
        <v>45299</v>
      </c>
      <c r="N4" s="10">
        <v>2699.97</v>
      </c>
    </row>
    <row r="5" spans="1:14" x14ac:dyDescent="0.3">
      <c r="A5" s="10" t="s">
        <v>79</v>
      </c>
      <c r="B5" s="10">
        <v>45409</v>
      </c>
      <c r="C5" s="10" t="s">
        <v>80</v>
      </c>
      <c r="D5" s="10" t="s">
        <v>81</v>
      </c>
      <c r="E5" s="10" t="s">
        <v>82</v>
      </c>
      <c r="F5" s="10" t="s">
        <v>83</v>
      </c>
      <c r="G5" s="10" t="s">
        <v>21</v>
      </c>
      <c r="H5" s="10">
        <v>3</v>
      </c>
      <c r="I5" s="10">
        <v>699.99</v>
      </c>
      <c r="J5" s="10" t="s">
        <v>28</v>
      </c>
      <c r="K5" s="10" t="s">
        <v>52</v>
      </c>
      <c r="L5" s="10" t="s">
        <v>24</v>
      </c>
      <c r="M5" s="10">
        <v>44577</v>
      </c>
      <c r="N5" s="10">
        <v>2099.9699999999998</v>
      </c>
    </row>
    <row r="6" spans="1:14" x14ac:dyDescent="0.3">
      <c r="A6" s="10" t="s">
        <v>84</v>
      </c>
      <c r="B6" s="10">
        <v>45409</v>
      </c>
      <c r="C6" s="10" t="s">
        <v>85</v>
      </c>
      <c r="D6" s="10" t="s">
        <v>86</v>
      </c>
      <c r="E6" s="10" t="s">
        <v>63</v>
      </c>
      <c r="F6" s="10" t="s">
        <v>64</v>
      </c>
      <c r="G6" s="10" t="s">
        <v>21</v>
      </c>
      <c r="H6" s="10">
        <v>1</v>
      </c>
      <c r="I6" s="10">
        <v>899.99</v>
      </c>
      <c r="J6" s="10" t="s">
        <v>59</v>
      </c>
      <c r="K6" s="10" t="s">
        <v>42</v>
      </c>
      <c r="L6" s="10" t="s">
        <v>38</v>
      </c>
      <c r="M6" s="10">
        <v>44920</v>
      </c>
      <c r="N6" s="10">
        <v>899.99</v>
      </c>
    </row>
    <row r="7" spans="1:14" x14ac:dyDescent="0.3">
      <c r="A7" s="10" t="s">
        <v>90</v>
      </c>
      <c r="B7" s="10">
        <v>45410</v>
      </c>
      <c r="C7" s="10" t="s">
        <v>91</v>
      </c>
      <c r="D7" s="10" t="s">
        <v>92</v>
      </c>
      <c r="E7" s="10" t="s">
        <v>82</v>
      </c>
      <c r="F7" s="10" t="s">
        <v>83</v>
      </c>
      <c r="G7" s="10" t="s">
        <v>21</v>
      </c>
      <c r="H7" s="10">
        <v>2</v>
      </c>
      <c r="I7" s="10">
        <v>699.99</v>
      </c>
      <c r="J7" s="10" t="s">
        <v>22</v>
      </c>
      <c r="K7" s="10" t="s">
        <v>42</v>
      </c>
      <c r="L7" s="10" t="s">
        <v>24</v>
      </c>
      <c r="M7" s="10">
        <v>44781</v>
      </c>
      <c r="N7" s="10">
        <v>1399.98</v>
      </c>
    </row>
    <row r="8" spans="1:14" x14ac:dyDescent="0.3">
      <c r="A8" s="10" t="s">
        <v>93</v>
      </c>
      <c r="B8" s="10">
        <v>45410</v>
      </c>
      <c r="C8" s="10" t="s">
        <v>88</v>
      </c>
      <c r="D8" s="10" t="s">
        <v>89</v>
      </c>
      <c r="E8" s="10" t="s">
        <v>63</v>
      </c>
      <c r="F8" s="10" t="s">
        <v>64</v>
      </c>
      <c r="G8" s="10" t="s">
        <v>21</v>
      </c>
      <c r="H8" s="10">
        <v>4</v>
      </c>
      <c r="I8" s="10">
        <v>899.99</v>
      </c>
      <c r="J8" s="10" t="s">
        <v>28</v>
      </c>
      <c r="K8" s="10" t="s">
        <v>52</v>
      </c>
      <c r="L8" s="10" t="s">
        <v>38</v>
      </c>
      <c r="M8" s="10">
        <v>45327</v>
      </c>
      <c r="N8" s="10">
        <v>3599.96</v>
      </c>
    </row>
    <row r="9" spans="1:14" x14ac:dyDescent="0.3">
      <c r="A9" s="10" t="s">
        <v>94</v>
      </c>
      <c r="B9" s="10">
        <v>45410</v>
      </c>
      <c r="C9" s="10" t="s">
        <v>95</v>
      </c>
      <c r="D9" s="10" t="s">
        <v>96</v>
      </c>
      <c r="E9" s="10" t="s">
        <v>19</v>
      </c>
      <c r="F9" s="10" t="s">
        <v>20</v>
      </c>
      <c r="G9" s="10" t="s">
        <v>21</v>
      </c>
      <c r="H9" s="10">
        <v>3</v>
      </c>
      <c r="I9" s="10">
        <v>249.99</v>
      </c>
      <c r="J9" s="10" t="s">
        <v>28</v>
      </c>
      <c r="K9" s="10" t="s">
        <v>42</v>
      </c>
      <c r="L9" s="10" t="s">
        <v>29</v>
      </c>
      <c r="M9" s="10">
        <v>45224</v>
      </c>
      <c r="N9" s="10">
        <v>749.97</v>
      </c>
    </row>
    <row r="10" spans="1:14" x14ac:dyDescent="0.3">
      <c r="A10" s="10" t="s">
        <v>97</v>
      </c>
      <c r="B10" s="10">
        <v>45412</v>
      </c>
      <c r="C10" s="10" t="s">
        <v>98</v>
      </c>
      <c r="D10" s="10" t="s">
        <v>99</v>
      </c>
      <c r="E10" s="10" t="s">
        <v>82</v>
      </c>
      <c r="F10" s="10" t="s">
        <v>83</v>
      </c>
      <c r="G10" s="10" t="s">
        <v>21</v>
      </c>
      <c r="H10" s="10">
        <v>5</v>
      </c>
      <c r="I10" s="10">
        <v>699.99</v>
      </c>
      <c r="J10" s="10" t="s">
        <v>22</v>
      </c>
      <c r="K10" s="10" t="s">
        <v>52</v>
      </c>
      <c r="L10" s="10" t="s">
        <v>24</v>
      </c>
      <c r="M10" s="10">
        <v>45167</v>
      </c>
      <c r="N10" s="10">
        <v>3499.95</v>
      </c>
    </row>
    <row r="11" spans="1:14" x14ac:dyDescent="0.3">
      <c r="A11" s="10" t="s">
        <v>100</v>
      </c>
      <c r="B11" s="10">
        <v>45413</v>
      </c>
      <c r="C11" s="10" t="s">
        <v>101</v>
      </c>
      <c r="D11" s="10" t="s">
        <v>102</v>
      </c>
      <c r="E11" s="10" t="s">
        <v>82</v>
      </c>
      <c r="F11" s="10" t="s">
        <v>83</v>
      </c>
      <c r="G11" s="10" t="s">
        <v>21</v>
      </c>
      <c r="H11" s="10">
        <v>4</v>
      </c>
      <c r="I11" s="10">
        <v>699.99</v>
      </c>
      <c r="J11" s="10" t="s">
        <v>22</v>
      </c>
      <c r="K11" s="10" t="s">
        <v>65</v>
      </c>
      <c r="L11" s="10" t="s">
        <v>38</v>
      </c>
      <c r="M11" s="10">
        <v>44409</v>
      </c>
      <c r="N11" s="10">
        <v>2799.96</v>
      </c>
    </row>
    <row r="12" spans="1:14" x14ac:dyDescent="0.3">
      <c r="A12" s="10" t="s">
        <v>103</v>
      </c>
      <c r="B12" s="10">
        <v>45415</v>
      </c>
      <c r="C12" s="10" t="s">
        <v>104</v>
      </c>
      <c r="D12" s="10" t="s">
        <v>105</v>
      </c>
      <c r="E12" s="10" t="s">
        <v>19</v>
      </c>
      <c r="F12" s="10" t="s">
        <v>20</v>
      </c>
      <c r="G12" s="10" t="s">
        <v>21</v>
      </c>
      <c r="H12" s="10">
        <v>4</v>
      </c>
      <c r="I12" s="10">
        <v>249.99</v>
      </c>
      <c r="J12" s="10" t="s">
        <v>36</v>
      </c>
      <c r="K12" s="10" t="s">
        <v>42</v>
      </c>
      <c r="L12" s="10" t="s">
        <v>38</v>
      </c>
      <c r="M12" s="10">
        <v>44468</v>
      </c>
      <c r="N12" s="10">
        <v>999.96</v>
      </c>
    </row>
    <row r="13" spans="1:14" x14ac:dyDescent="0.3">
      <c r="A13" s="10" t="s">
        <v>109</v>
      </c>
      <c r="B13" s="10">
        <v>45422</v>
      </c>
      <c r="C13" s="10" t="s">
        <v>110</v>
      </c>
      <c r="D13" s="10" t="s">
        <v>111</v>
      </c>
      <c r="E13" s="10" t="s">
        <v>19</v>
      </c>
      <c r="F13" s="10" t="s">
        <v>20</v>
      </c>
      <c r="G13" s="10" t="s">
        <v>21</v>
      </c>
      <c r="H13" s="10">
        <v>5</v>
      </c>
      <c r="I13" s="10">
        <v>249.99</v>
      </c>
      <c r="J13" s="10" t="s">
        <v>28</v>
      </c>
      <c r="K13" s="10" t="s">
        <v>52</v>
      </c>
      <c r="L13" s="10" t="s">
        <v>38</v>
      </c>
      <c r="M13" s="10">
        <v>44525</v>
      </c>
      <c r="N13" s="10">
        <v>1249.95</v>
      </c>
    </row>
    <row r="14" spans="1:14" x14ac:dyDescent="0.3">
      <c r="A14" s="10" t="s">
        <v>118</v>
      </c>
      <c r="B14" s="10">
        <v>45424</v>
      </c>
      <c r="C14" s="10" t="s">
        <v>101</v>
      </c>
      <c r="D14" s="10" t="s">
        <v>102</v>
      </c>
      <c r="E14" s="10" t="s">
        <v>119</v>
      </c>
      <c r="F14" s="10" t="s">
        <v>120</v>
      </c>
      <c r="G14" s="10" t="s">
        <v>21</v>
      </c>
      <c r="H14" s="10">
        <v>5</v>
      </c>
      <c r="I14" s="10">
        <v>89.99</v>
      </c>
      <c r="J14" s="10" t="s">
        <v>22</v>
      </c>
      <c r="K14" s="10" t="s">
        <v>42</v>
      </c>
      <c r="L14" s="10" t="s">
        <v>29</v>
      </c>
      <c r="M14" s="10">
        <v>44919</v>
      </c>
      <c r="N14" s="10">
        <v>449.95</v>
      </c>
    </row>
    <row r="15" spans="1:14" x14ac:dyDescent="0.3">
      <c r="A15" s="10" t="s">
        <v>136</v>
      </c>
      <c r="B15" s="10">
        <v>45432</v>
      </c>
      <c r="C15" s="10" t="s">
        <v>31</v>
      </c>
      <c r="D15" s="10" t="s">
        <v>32</v>
      </c>
      <c r="E15" s="10" t="s">
        <v>63</v>
      </c>
      <c r="F15" s="10" t="s">
        <v>64</v>
      </c>
      <c r="G15" s="10" t="s">
        <v>21</v>
      </c>
      <c r="H15" s="10">
        <v>1</v>
      </c>
      <c r="I15" s="10">
        <v>899.99</v>
      </c>
      <c r="J15" s="10" t="s">
        <v>28</v>
      </c>
      <c r="K15" s="10" t="s">
        <v>52</v>
      </c>
      <c r="L15" s="10" t="s">
        <v>29</v>
      </c>
      <c r="M15" s="10">
        <v>44578</v>
      </c>
      <c r="N15" s="10">
        <v>899.99</v>
      </c>
    </row>
    <row r="16" spans="1:14" x14ac:dyDescent="0.3">
      <c r="A16" s="10" t="s">
        <v>142</v>
      </c>
      <c r="B16" s="10">
        <v>45440</v>
      </c>
      <c r="C16" s="10" t="s">
        <v>143</v>
      </c>
      <c r="D16" s="10" t="s">
        <v>144</v>
      </c>
      <c r="E16" s="10" t="s">
        <v>82</v>
      </c>
      <c r="F16" s="10" t="s">
        <v>83</v>
      </c>
      <c r="G16" s="10" t="s">
        <v>21</v>
      </c>
      <c r="H16" s="10">
        <v>5</v>
      </c>
      <c r="I16" s="10">
        <v>699.99</v>
      </c>
      <c r="J16" s="10" t="s">
        <v>36</v>
      </c>
      <c r="K16" s="10" t="s">
        <v>52</v>
      </c>
      <c r="L16" s="10" t="s">
        <v>38</v>
      </c>
      <c r="M16" s="10">
        <v>44407</v>
      </c>
      <c r="N16" s="10">
        <v>3499.95</v>
      </c>
    </row>
    <row r="17" spans="1:14" x14ac:dyDescent="0.3">
      <c r="A17" s="10" t="s">
        <v>145</v>
      </c>
      <c r="B17" s="10">
        <v>45441</v>
      </c>
      <c r="C17" s="10" t="s">
        <v>146</v>
      </c>
      <c r="D17" s="10" t="s">
        <v>147</v>
      </c>
      <c r="E17" s="10" t="s">
        <v>119</v>
      </c>
      <c r="F17" s="10" t="s">
        <v>120</v>
      </c>
      <c r="G17" s="10" t="s">
        <v>21</v>
      </c>
      <c r="H17" s="10">
        <v>3</v>
      </c>
      <c r="I17" s="10">
        <v>89.99</v>
      </c>
      <c r="J17" s="10" t="s">
        <v>36</v>
      </c>
      <c r="K17" s="10" t="s">
        <v>23</v>
      </c>
      <c r="L17" s="10" t="s">
        <v>29</v>
      </c>
      <c r="M17" s="10">
        <v>45120</v>
      </c>
      <c r="N17" s="10">
        <v>269.97000000000003</v>
      </c>
    </row>
    <row r="18" spans="1:14" x14ac:dyDescent="0.3">
      <c r="A18" s="10" t="s">
        <v>154</v>
      </c>
      <c r="B18" s="10">
        <v>45444</v>
      </c>
      <c r="C18" s="10" t="s">
        <v>57</v>
      </c>
      <c r="D18" s="10" t="s">
        <v>58</v>
      </c>
      <c r="E18" s="10" t="s">
        <v>119</v>
      </c>
      <c r="F18" s="10" t="s">
        <v>120</v>
      </c>
      <c r="G18" s="10" t="s">
        <v>21</v>
      </c>
      <c r="H18" s="10">
        <v>1</v>
      </c>
      <c r="I18" s="10">
        <v>89.99</v>
      </c>
      <c r="J18" s="10" t="s">
        <v>22</v>
      </c>
      <c r="K18" s="10" t="s">
        <v>42</v>
      </c>
      <c r="L18" s="10" t="s">
        <v>24</v>
      </c>
      <c r="M18" s="10">
        <v>45141</v>
      </c>
      <c r="N18" s="10">
        <v>89.99</v>
      </c>
    </row>
    <row r="19" spans="1:14" x14ac:dyDescent="0.3">
      <c r="A19" s="10" t="s">
        <v>155</v>
      </c>
      <c r="B19" s="10">
        <v>45446</v>
      </c>
      <c r="C19" s="10" t="s">
        <v>156</v>
      </c>
      <c r="D19" s="10" t="s">
        <v>157</v>
      </c>
      <c r="E19" s="10" t="s">
        <v>119</v>
      </c>
      <c r="F19" s="10" t="s">
        <v>120</v>
      </c>
      <c r="G19" s="10" t="s">
        <v>21</v>
      </c>
      <c r="H19" s="10">
        <v>5</v>
      </c>
      <c r="I19" s="10">
        <v>89.99</v>
      </c>
      <c r="J19" s="10" t="s">
        <v>28</v>
      </c>
      <c r="K19" s="10" t="s">
        <v>65</v>
      </c>
      <c r="L19" s="10" t="s">
        <v>38</v>
      </c>
      <c r="M19" s="10">
        <v>44587</v>
      </c>
      <c r="N19" s="10">
        <v>449.95</v>
      </c>
    </row>
    <row r="20" spans="1:14" x14ac:dyDescent="0.3">
      <c r="A20" s="10" t="s">
        <v>158</v>
      </c>
      <c r="B20" s="10">
        <v>45449</v>
      </c>
      <c r="C20" s="10" t="s">
        <v>26</v>
      </c>
      <c r="D20" s="10" t="s">
        <v>27</v>
      </c>
      <c r="E20" s="10" t="s">
        <v>19</v>
      </c>
      <c r="F20" s="10" t="s">
        <v>20</v>
      </c>
      <c r="G20" s="10" t="s">
        <v>21</v>
      </c>
      <c r="H20" s="10">
        <v>5</v>
      </c>
      <c r="I20" s="10">
        <v>249.99</v>
      </c>
      <c r="J20" s="10" t="s">
        <v>28</v>
      </c>
      <c r="K20" s="10" t="s">
        <v>65</v>
      </c>
      <c r="L20" s="10" t="s">
        <v>38</v>
      </c>
      <c r="M20" s="10">
        <v>44707</v>
      </c>
      <c r="N20" s="10">
        <v>1249.95</v>
      </c>
    </row>
    <row r="21" spans="1:14" x14ac:dyDescent="0.3">
      <c r="A21" s="10" t="s">
        <v>159</v>
      </c>
      <c r="B21" s="10">
        <v>45449</v>
      </c>
      <c r="C21" s="10" t="s">
        <v>160</v>
      </c>
      <c r="D21" s="10" t="s">
        <v>161</v>
      </c>
      <c r="E21" s="10" t="s">
        <v>119</v>
      </c>
      <c r="F21" s="10" t="s">
        <v>120</v>
      </c>
      <c r="G21" s="10" t="s">
        <v>21</v>
      </c>
      <c r="H21" s="10">
        <v>1</v>
      </c>
      <c r="I21" s="10">
        <v>89.99</v>
      </c>
      <c r="J21" s="10" t="s">
        <v>28</v>
      </c>
      <c r="K21" s="10" t="s">
        <v>37</v>
      </c>
      <c r="L21" s="10" t="s">
        <v>38</v>
      </c>
      <c r="M21" s="10">
        <v>44582</v>
      </c>
      <c r="N21" s="10">
        <v>89.99</v>
      </c>
    </row>
    <row r="22" spans="1:14" x14ac:dyDescent="0.3">
      <c r="A22" s="10" t="s">
        <v>166</v>
      </c>
      <c r="B22" s="10">
        <v>45456</v>
      </c>
      <c r="C22" s="10" t="s">
        <v>131</v>
      </c>
      <c r="D22" s="10" t="s">
        <v>132</v>
      </c>
      <c r="E22" s="10" t="s">
        <v>119</v>
      </c>
      <c r="F22" s="10" t="s">
        <v>120</v>
      </c>
      <c r="G22" s="10" t="s">
        <v>21</v>
      </c>
      <c r="H22" s="10">
        <v>5</v>
      </c>
      <c r="I22" s="10">
        <v>89.99</v>
      </c>
      <c r="J22" s="10" t="s">
        <v>22</v>
      </c>
      <c r="K22" s="10" t="s">
        <v>23</v>
      </c>
      <c r="L22" s="10" t="s">
        <v>29</v>
      </c>
      <c r="M22" s="10">
        <v>44579</v>
      </c>
      <c r="N22" s="10">
        <v>449.95</v>
      </c>
    </row>
    <row r="23" spans="1:14" x14ac:dyDescent="0.3">
      <c r="A23" s="10" t="s">
        <v>167</v>
      </c>
      <c r="B23" s="10">
        <v>45459</v>
      </c>
      <c r="C23" s="10" t="s">
        <v>101</v>
      </c>
      <c r="D23" s="10" t="s">
        <v>102</v>
      </c>
      <c r="E23" s="10" t="s">
        <v>119</v>
      </c>
      <c r="F23" s="10" t="s">
        <v>120</v>
      </c>
      <c r="G23" s="10" t="s">
        <v>21</v>
      </c>
      <c r="H23" s="10">
        <v>2</v>
      </c>
      <c r="I23" s="10">
        <v>89.99</v>
      </c>
      <c r="J23" s="10" t="s">
        <v>28</v>
      </c>
      <c r="K23" s="10" t="s">
        <v>37</v>
      </c>
      <c r="L23" s="10" t="s">
        <v>29</v>
      </c>
      <c r="M23" s="10">
        <v>44471</v>
      </c>
      <c r="N23" s="10">
        <v>179.98</v>
      </c>
    </row>
    <row r="24" spans="1:14" x14ac:dyDescent="0.3">
      <c r="A24" s="10" t="s">
        <v>168</v>
      </c>
      <c r="B24" s="10">
        <v>45459</v>
      </c>
      <c r="C24" s="10" t="s">
        <v>17</v>
      </c>
      <c r="D24" s="10" t="s">
        <v>18</v>
      </c>
      <c r="E24" s="10" t="s">
        <v>63</v>
      </c>
      <c r="F24" s="10" t="s">
        <v>64</v>
      </c>
      <c r="G24" s="10" t="s">
        <v>21</v>
      </c>
      <c r="H24" s="10">
        <v>5</v>
      </c>
      <c r="I24" s="10">
        <v>899.99</v>
      </c>
      <c r="J24" s="10" t="s">
        <v>28</v>
      </c>
      <c r="K24" s="10" t="s">
        <v>37</v>
      </c>
      <c r="L24" s="10" t="s">
        <v>38</v>
      </c>
      <c r="M24" s="10">
        <v>44974</v>
      </c>
      <c r="N24" s="10">
        <v>4499.95</v>
      </c>
    </row>
    <row r="25" spans="1:14" x14ac:dyDescent="0.3">
      <c r="A25" s="10" t="s">
        <v>169</v>
      </c>
      <c r="B25" s="10">
        <v>45459</v>
      </c>
      <c r="C25" s="10" t="s">
        <v>125</v>
      </c>
      <c r="D25" s="10" t="s">
        <v>126</v>
      </c>
      <c r="E25" s="10" t="s">
        <v>63</v>
      </c>
      <c r="F25" s="10" t="s">
        <v>64</v>
      </c>
      <c r="G25" s="10" t="s">
        <v>21</v>
      </c>
      <c r="H25" s="10">
        <v>5</v>
      </c>
      <c r="I25" s="10">
        <v>899.99</v>
      </c>
      <c r="J25" s="10" t="s">
        <v>36</v>
      </c>
      <c r="K25" s="10" t="s">
        <v>65</v>
      </c>
      <c r="L25" s="10" t="s">
        <v>29</v>
      </c>
      <c r="M25" s="10">
        <v>45278</v>
      </c>
      <c r="N25" s="10">
        <v>4499.95</v>
      </c>
    </row>
    <row r="26" spans="1:14" x14ac:dyDescent="0.3">
      <c r="A26" s="10" t="s">
        <v>172</v>
      </c>
      <c r="B26" s="10">
        <v>45468</v>
      </c>
      <c r="C26" s="10" t="s">
        <v>173</v>
      </c>
      <c r="D26" s="10" t="s">
        <v>174</v>
      </c>
      <c r="E26" s="10" t="s">
        <v>119</v>
      </c>
      <c r="F26" s="10" t="s">
        <v>120</v>
      </c>
      <c r="G26" s="10" t="s">
        <v>21</v>
      </c>
      <c r="H26" s="10">
        <v>4</v>
      </c>
      <c r="I26" s="10">
        <v>89.99</v>
      </c>
      <c r="J26" s="10" t="s">
        <v>59</v>
      </c>
      <c r="K26" s="10" t="s">
        <v>37</v>
      </c>
      <c r="L26" s="10" t="s">
        <v>24</v>
      </c>
      <c r="M26" s="10">
        <v>45281</v>
      </c>
      <c r="N26" s="10">
        <v>359.96</v>
      </c>
    </row>
    <row r="27" spans="1:14" x14ac:dyDescent="0.3">
      <c r="A27" s="10" t="s">
        <v>176</v>
      </c>
      <c r="B27" s="10">
        <v>45469</v>
      </c>
      <c r="C27" s="10" t="s">
        <v>61</v>
      </c>
      <c r="D27" s="10" t="s">
        <v>62</v>
      </c>
      <c r="E27" s="10" t="s">
        <v>119</v>
      </c>
      <c r="F27" s="10" t="s">
        <v>120</v>
      </c>
      <c r="G27" s="10" t="s">
        <v>21</v>
      </c>
      <c r="H27" s="10">
        <v>2</v>
      </c>
      <c r="I27" s="10">
        <v>89.99</v>
      </c>
      <c r="J27" s="10" t="s">
        <v>22</v>
      </c>
      <c r="K27" s="10" t="s">
        <v>52</v>
      </c>
      <c r="L27" s="10" t="s">
        <v>24</v>
      </c>
      <c r="M27" s="10">
        <v>44438</v>
      </c>
      <c r="N27" s="10">
        <v>179.98</v>
      </c>
    </row>
    <row r="28" spans="1:14" x14ac:dyDescent="0.3">
      <c r="A28" s="10" t="s">
        <v>177</v>
      </c>
      <c r="B28" s="10">
        <v>45471</v>
      </c>
      <c r="C28" s="10" t="s">
        <v>40</v>
      </c>
      <c r="D28" s="10" t="s">
        <v>41</v>
      </c>
      <c r="E28" s="10" t="s">
        <v>82</v>
      </c>
      <c r="F28" s="10" t="s">
        <v>83</v>
      </c>
      <c r="G28" s="10" t="s">
        <v>21</v>
      </c>
      <c r="H28" s="10">
        <v>3</v>
      </c>
      <c r="I28" s="10">
        <v>699.99</v>
      </c>
      <c r="J28" s="10" t="s">
        <v>28</v>
      </c>
      <c r="K28" s="10" t="s">
        <v>65</v>
      </c>
      <c r="L28" s="10" t="s">
        <v>29</v>
      </c>
      <c r="M28" s="10">
        <v>45102</v>
      </c>
      <c r="N28" s="10">
        <v>2099.9699999999998</v>
      </c>
    </row>
    <row r="29" spans="1:14" x14ac:dyDescent="0.3">
      <c r="A29" s="10" t="s">
        <v>178</v>
      </c>
      <c r="B29" s="10">
        <v>45471</v>
      </c>
      <c r="C29" s="10" t="s">
        <v>101</v>
      </c>
      <c r="D29" s="10" t="s">
        <v>102</v>
      </c>
      <c r="E29" s="10" t="s">
        <v>63</v>
      </c>
      <c r="F29" s="10" t="s">
        <v>64</v>
      </c>
      <c r="G29" s="10" t="s">
        <v>21</v>
      </c>
      <c r="H29" s="10">
        <v>4</v>
      </c>
      <c r="I29" s="10">
        <v>899.99</v>
      </c>
      <c r="J29" s="10" t="s">
        <v>28</v>
      </c>
      <c r="K29" s="10" t="s">
        <v>65</v>
      </c>
      <c r="L29" s="10" t="s">
        <v>29</v>
      </c>
      <c r="M29" s="10">
        <v>44993</v>
      </c>
      <c r="N29" s="10">
        <v>3599.96</v>
      </c>
    </row>
    <row r="30" spans="1:14" x14ac:dyDescent="0.3">
      <c r="A30" s="10" t="s">
        <v>180</v>
      </c>
      <c r="B30" s="10">
        <v>45474</v>
      </c>
      <c r="C30" s="10" t="s">
        <v>134</v>
      </c>
      <c r="D30" s="10" t="s">
        <v>135</v>
      </c>
      <c r="E30" s="10" t="s">
        <v>119</v>
      </c>
      <c r="F30" s="10" t="s">
        <v>120</v>
      </c>
      <c r="G30" s="10" t="s">
        <v>21</v>
      </c>
      <c r="H30" s="10">
        <v>2</v>
      </c>
      <c r="I30" s="10">
        <v>89.99</v>
      </c>
      <c r="J30" s="10" t="s">
        <v>36</v>
      </c>
      <c r="K30" s="10" t="s">
        <v>23</v>
      </c>
      <c r="L30" s="10" t="s">
        <v>29</v>
      </c>
      <c r="M30" s="10">
        <v>45275</v>
      </c>
      <c r="N30" s="10">
        <v>179.98</v>
      </c>
    </row>
    <row r="31" spans="1:14" x14ac:dyDescent="0.3">
      <c r="A31" s="10" t="s">
        <v>181</v>
      </c>
      <c r="B31" s="10">
        <v>45475</v>
      </c>
      <c r="C31" s="10" t="s">
        <v>57</v>
      </c>
      <c r="D31" s="10" t="s">
        <v>58</v>
      </c>
      <c r="E31" s="10" t="s">
        <v>119</v>
      </c>
      <c r="F31" s="10" t="s">
        <v>120</v>
      </c>
      <c r="G31" s="10" t="s">
        <v>21</v>
      </c>
      <c r="H31" s="10">
        <v>1</v>
      </c>
      <c r="I31" s="10">
        <v>89.99</v>
      </c>
      <c r="J31" s="10" t="s">
        <v>36</v>
      </c>
      <c r="K31" s="10" t="s">
        <v>52</v>
      </c>
      <c r="L31" s="10" t="s">
        <v>38</v>
      </c>
      <c r="M31" s="10">
        <v>44802</v>
      </c>
      <c r="N31" s="10">
        <v>89.99</v>
      </c>
    </row>
    <row r="32" spans="1:14" x14ac:dyDescent="0.3">
      <c r="A32" s="10" t="s">
        <v>182</v>
      </c>
      <c r="B32" s="10">
        <v>45476</v>
      </c>
      <c r="C32" s="10" t="s">
        <v>70</v>
      </c>
      <c r="D32" s="10" t="s">
        <v>71</v>
      </c>
      <c r="E32" s="10" t="s">
        <v>119</v>
      </c>
      <c r="F32" s="10" t="s">
        <v>120</v>
      </c>
      <c r="G32" s="10" t="s">
        <v>21</v>
      </c>
      <c r="H32" s="10">
        <v>1</v>
      </c>
      <c r="I32" s="10">
        <v>89.99</v>
      </c>
      <c r="J32" s="10" t="s">
        <v>22</v>
      </c>
      <c r="K32" s="10" t="s">
        <v>37</v>
      </c>
      <c r="L32" s="10" t="s">
        <v>38</v>
      </c>
      <c r="M32" s="10">
        <v>44611</v>
      </c>
      <c r="N32" s="10">
        <v>89.99</v>
      </c>
    </row>
    <row r="33" spans="1:14" x14ac:dyDescent="0.3">
      <c r="A33" s="10" t="s">
        <v>189</v>
      </c>
      <c r="B33" s="10">
        <v>45481</v>
      </c>
      <c r="C33" s="10" t="s">
        <v>44</v>
      </c>
      <c r="D33" s="10" t="s">
        <v>45</v>
      </c>
      <c r="E33" s="10" t="s">
        <v>82</v>
      </c>
      <c r="F33" s="10" t="s">
        <v>83</v>
      </c>
      <c r="G33" s="10" t="s">
        <v>21</v>
      </c>
      <c r="H33" s="10">
        <v>2</v>
      </c>
      <c r="I33" s="10">
        <v>699.99</v>
      </c>
      <c r="J33" s="10" t="s">
        <v>36</v>
      </c>
      <c r="K33" s="10" t="s">
        <v>65</v>
      </c>
      <c r="L33" s="10" t="s">
        <v>29</v>
      </c>
      <c r="M33" s="10">
        <v>45389</v>
      </c>
      <c r="N33" s="10">
        <v>1399.98</v>
      </c>
    </row>
    <row r="34" spans="1:14" x14ac:dyDescent="0.3">
      <c r="A34" s="10" t="s">
        <v>190</v>
      </c>
      <c r="B34" s="10">
        <v>45481</v>
      </c>
      <c r="C34" s="10" t="s">
        <v>98</v>
      </c>
      <c r="D34" s="10" t="s">
        <v>99</v>
      </c>
      <c r="E34" s="10" t="s">
        <v>119</v>
      </c>
      <c r="F34" s="10" t="s">
        <v>120</v>
      </c>
      <c r="G34" s="10" t="s">
        <v>21</v>
      </c>
      <c r="H34" s="10">
        <v>5</v>
      </c>
      <c r="I34" s="10">
        <v>89.99</v>
      </c>
      <c r="J34" s="10" t="s">
        <v>59</v>
      </c>
      <c r="K34" s="10" t="s">
        <v>42</v>
      </c>
      <c r="L34" s="10" t="s">
        <v>29</v>
      </c>
      <c r="M34" s="10">
        <v>45161</v>
      </c>
      <c r="N34" s="10">
        <v>449.95</v>
      </c>
    </row>
    <row r="35" spans="1:14" x14ac:dyDescent="0.3">
      <c r="A35" s="10" t="s">
        <v>192</v>
      </c>
      <c r="B35" s="10">
        <v>45484</v>
      </c>
      <c r="C35" s="10" t="s">
        <v>26</v>
      </c>
      <c r="D35" s="10" t="s">
        <v>27</v>
      </c>
      <c r="E35" s="10" t="s">
        <v>54</v>
      </c>
      <c r="F35" s="10" t="s">
        <v>55</v>
      </c>
      <c r="G35" s="10" t="s">
        <v>21</v>
      </c>
      <c r="H35" s="10">
        <v>1</v>
      </c>
      <c r="I35" s="10">
        <v>149.99</v>
      </c>
      <c r="J35" s="10" t="s">
        <v>22</v>
      </c>
      <c r="K35" s="10" t="s">
        <v>23</v>
      </c>
      <c r="L35" s="10" t="s">
        <v>38</v>
      </c>
      <c r="M35" s="10">
        <v>44909</v>
      </c>
      <c r="N35" s="10">
        <v>149.99</v>
      </c>
    </row>
    <row r="36" spans="1:14" x14ac:dyDescent="0.3">
      <c r="A36" s="10" t="s">
        <v>202</v>
      </c>
      <c r="B36" s="10">
        <v>45496</v>
      </c>
      <c r="C36" s="10" t="s">
        <v>152</v>
      </c>
      <c r="D36" s="10" t="s">
        <v>153</v>
      </c>
      <c r="E36" s="10" t="s">
        <v>63</v>
      </c>
      <c r="F36" s="10" t="s">
        <v>64</v>
      </c>
      <c r="G36" s="10" t="s">
        <v>21</v>
      </c>
      <c r="H36" s="10">
        <v>1</v>
      </c>
      <c r="I36" s="10">
        <v>899.99</v>
      </c>
      <c r="J36" s="10" t="s">
        <v>22</v>
      </c>
      <c r="K36" s="10" t="s">
        <v>23</v>
      </c>
      <c r="L36" s="10" t="s">
        <v>38</v>
      </c>
      <c r="M36" s="10">
        <v>45179</v>
      </c>
      <c r="N36" s="10">
        <v>899.99</v>
      </c>
    </row>
    <row r="37" spans="1:14" x14ac:dyDescent="0.3">
      <c r="A37" s="10" t="s">
        <v>203</v>
      </c>
      <c r="B37" s="10">
        <v>45497</v>
      </c>
      <c r="C37" s="10" t="s">
        <v>26</v>
      </c>
      <c r="D37" s="10" t="s">
        <v>27</v>
      </c>
      <c r="E37" s="10" t="s">
        <v>63</v>
      </c>
      <c r="F37" s="10" t="s">
        <v>64</v>
      </c>
      <c r="G37" s="10" t="s">
        <v>21</v>
      </c>
      <c r="H37" s="10">
        <v>5</v>
      </c>
      <c r="I37" s="10">
        <v>899.99</v>
      </c>
      <c r="J37" s="10" t="s">
        <v>59</v>
      </c>
      <c r="K37" s="10" t="s">
        <v>37</v>
      </c>
      <c r="L37" s="10" t="s">
        <v>38</v>
      </c>
      <c r="M37" s="10">
        <v>44899</v>
      </c>
      <c r="N37" s="10">
        <v>4499.95</v>
      </c>
    </row>
    <row r="38" spans="1:14" x14ac:dyDescent="0.3">
      <c r="A38" s="10" t="s">
        <v>205</v>
      </c>
      <c r="B38" s="10">
        <v>45498</v>
      </c>
      <c r="C38" s="10" t="s">
        <v>198</v>
      </c>
      <c r="D38" s="10" t="s">
        <v>199</v>
      </c>
      <c r="E38" s="10" t="s">
        <v>19</v>
      </c>
      <c r="F38" s="10" t="s">
        <v>20</v>
      </c>
      <c r="G38" s="10" t="s">
        <v>21</v>
      </c>
      <c r="H38" s="10">
        <v>4</v>
      </c>
      <c r="I38" s="10">
        <v>249.99</v>
      </c>
      <c r="J38" s="10" t="s">
        <v>59</v>
      </c>
      <c r="K38" s="10" t="s">
        <v>23</v>
      </c>
      <c r="L38" s="10" t="s">
        <v>38</v>
      </c>
      <c r="M38" s="10">
        <v>45127</v>
      </c>
      <c r="N38" s="10">
        <v>999.96</v>
      </c>
    </row>
    <row r="39" spans="1:14" x14ac:dyDescent="0.3">
      <c r="A39" s="10" t="s">
        <v>206</v>
      </c>
      <c r="B39" s="10">
        <v>45500</v>
      </c>
      <c r="C39" s="10" t="s">
        <v>98</v>
      </c>
      <c r="D39" s="10" t="s">
        <v>99</v>
      </c>
      <c r="E39" s="10" t="s">
        <v>19</v>
      </c>
      <c r="F39" s="10" t="s">
        <v>20</v>
      </c>
      <c r="G39" s="10" t="s">
        <v>21</v>
      </c>
      <c r="H39" s="10">
        <v>2</v>
      </c>
      <c r="I39" s="10">
        <v>249.99</v>
      </c>
      <c r="J39" s="10" t="s">
        <v>22</v>
      </c>
      <c r="K39" s="10" t="s">
        <v>42</v>
      </c>
      <c r="L39" s="10" t="s">
        <v>29</v>
      </c>
      <c r="M39" s="10">
        <v>45164</v>
      </c>
      <c r="N39" s="10">
        <v>499.98</v>
      </c>
    </row>
    <row r="40" spans="1:14" x14ac:dyDescent="0.3">
      <c r="A40" s="10" t="s">
        <v>208</v>
      </c>
      <c r="B40" s="10">
        <v>45501</v>
      </c>
      <c r="C40" s="10" t="s">
        <v>88</v>
      </c>
      <c r="D40" s="10" t="s">
        <v>89</v>
      </c>
      <c r="E40" s="10" t="s">
        <v>119</v>
      </c>
      <c r="F40" s="10" t="s">
        <v>120</v>
      </c>
      <c r="G40" s="10" t="s">
        <v>21</v>
      </c>
      <c r="H40" s="10">
        <v>2</v>
      </c>
      <c r="I40" s="10">
        <v>89.99</v>
      </c>
      <c r="J40" s="10" t="s">
        <v>36</v>
      </c>
      <c r="K40" s="10" t="s">
        <v>37</v>
      </c>
      <c r="L40" s="10" t="s">
        <v>24</v>
      </c>
      <c r="M40" s="10">
        <v>44976</v>
      </c>
      <c r="N40" s="10">
        <v>179.98</v>
      </c>
    </row>
    <row r="41" spans="1:14" x14ac:dyDescent="0.3">
      <c r="A41" s="10" t="s">
        <v>210</v>
      </c>
      <c r="B41" s="10">
        <v>45503</v>
      </c>
      <c r="C41" s="10" t="s">
        <v>88</v>
      </c>
      <c r="D41" s="10" t="s">
        <v>89</v>
      </c>
      <c r="E41" s="10" t="s">
        <v>82</v>
      </c>
      <c r="F41" s="10" t="s">
        <v>83</v>
      </c>
      <c r="G41" s="10" t="s">
        <v>21</v>
      </c>
      <c r="H41" s="10">
        <v>2</v>
      </c>
      <c r="I41" s="10">
        <v>699.99</v>
      </c>
      <c r="J41" s="10" t="s">
        <v>28</v>
      </c>
      <c r="K41" s="10" t="s">
        <v>42</v>
      </c>
      <c r="L41" s="10" t="s">
        <v>29</v>
      </c>
      <c r="M41" s="10">
        <v>44999</v>
      </c>
      <c r="N41" s="10">
        <v>1399.98</v>
      </c>
    </row>
    <row r="42" spans="1:14" x14ac:dyDescent="0.3">
      <c r="A42" s="10" t="s">
        <v>211</v>
      </c>
      <c r="B42" s="10">
        <v>45504</v>
      </c>
      <c r="C42" s="10" t="s">
        <v>122</v>
      </c>
      <c r="D42" s="10" t="s">
        <v>123</v>
      </c>
      <c r="E42" s="10" t="s">
        <v>63</v>
      </c>
      <c r="F42" s="10" t="s">
        <v>64</v>
      </c>
      <c r="G42" s="10" t="s">
        <v>21</v>
      </c>
      <c r="H42" s="10">
        <v>4</v>
      </c>
      <c r="I42" s="10">
        <v>899.99</v>
      </c>
      <c r="J42" s="10" t="s">
        <v>59</v>
      </c>
      <c r="K42" s="10" t="s">
        <v>37</v>
      </c>
      <c r="L42" s="10" t="s">
        <v>38</v>
      </c>
      <c r="M42" s="10">
        <v>44523</v>
      </c>
      <c r="N42" s="10">
        <v>3599.96</v>
      </c>
    </row>
    <row r="43" spans="1:14" x14ac:dyDescent="0.3">
      <c r="A43" s="10" t="s">
        <v>216</v>
      </c>
      <c r="B43" s="10">
        <v>45513</v>
      </c>
      <c r="C43" s="10" t="s">
        <v>91</v>
      </c>
      <c r="D43" s="10" t="s">
        <v>92</v>
      </c>
      <c r="E43" s="10" t="s">
        <v>119</v>
      </c>
      <c r="F43" s="10" t="s">
        <v>120</v>
      </c>
      <c r="G43" s="10" t="s">
        <v>21</v>
      </c>
      <c r="H43" s="10">
        <v>1</v>
      </c>
      <c r="I43" s="10">
        <v>89.99</v>
      </c>
      <c r="J43" s="10" t="s">
        <v>28</v>
      </c>
      <c r="K43" s="10" t="s">
        <v>42</v>
      </c>
      <c r="L43" s="10" t="s">
        <v>38</v>
      </c>
      <c r="M43" s="10">
        <v>45393</v>
      </c>
      <c r="N43" s="10">
        <v>89.99</v>
      </c>
    </row>
    <row r="44" spans="1:14" x14ac:dyDescent="0.3">
      <c r="A44" s="10" t="s">
        <v>218</v>
      </c>
      <c r="B44" s="10">
        <v>45517</v>
      </c>
      <c r="C44" s="10" t="s">
        <v>184</v>
      </c>
      <c r="D44" s="10" t="s">
        <v>185</v>
      </c>
      <c r="E44" s="10" t="s">
        <v>54</v>
      </c>
      <c r="F44" s="10" t="s">
        <v>55</v>
      </c>
      <c r="G44" s="10" t="s">
        <v>21</v>
      </c>
      <c r="H44" s="10">
        <v>4</v>
      </c>
      <c r="I44" s="10">
        <v>149.99</v>
      </c>
      <c r="J44" s="10" t="s">
        <v>59</v>
      </c>
      <c r="K44" s="10" t="s">
        <v>37</v>
      </c>
      <c r="L44" s="10" t="s">
        <v>29</v>
      </c>
      <c r="M44" s="10">
        <v>44820</v>
      </c>
      <c r="N44" s="10">
        <v>599.96</v>
      </c>
    </row>
    <row r="45" spans="1:14" x14ac:dyDescent="0.3">
      <c r="A45" s="10" t="s">
        <v>219</v>
      </c>
      <c r="B45" s="10">
        <v>45517</v>
      </c>
      <c r="C45" s="10" t="s">
        <v>187</v>
      </c>
      <c r="D45" s="10" t="s">
        <v>188</v>
      </c>
      <c r="E45" s="10" t="s">
        <v>19</v>
      </c>
      <c r="F45" s="10" t="s">
        <v>20</v>
      </c>
      <c r="G45" s="10" t="s">
        <v>21</v>
      </c>
      <c r="H45" s="10">
        <v>5</v>
      </c>
      <c r="I45" s="10">
        <v>249.99</v>
      </c>
      <c r="J45" s="10" t="s">
        <v>36</v>
      </c>
      <c r="K45" s="10" t="s">
        <v>65</v>
      </c>
      <c r="L45" s="10" t="s">
        <v>29</v>
      </c>
      <c r="M45" s="10">
        <v>44782</v>
      </c>
      <c r="N45" s="10">
        <v>1249.95</v>
      </c>
    </row>
    <row r="46" spans="1:14" x14ac:dyDescent="0.3">
      <c r="A46" s="10" t="s">
        <v>220</v>
      </c>
      <c r="B46" s="10">
        <v>45517</v>
      </c>
      <c r="C46" s="10" t="s">
        <v>67</v>
      </c>
      <c r="D46" s="10" t="s">
        <v>68</v>
      </c>
      <c r="E46" s="10" t="s">
        <v>19</v>
      </c>
      <c r="F46" s="10" t="s">
        <v>20</v>
      </c>
      <c r="G46" s="10" t="s">
        <v>21</v>
      </c>
      <c r="H46" s="10">
        <v>3</v>
      </c>
      <c r="I46" s="10">
        <v>249.99</v>
      </c>
      <c r="J46" s="10" t="s">
        <v>36</v>
      </c>
      <c r="K46" s="10" t="s">
        <v>42</v>
      </c>
      <c r="L46" s="10" t="s">
        <v>29</v>
      </c>
      <c r="M46" s="10">
        <v>44465</v>
      </c>
      <c r="N46" s="10">
        <v>749.97</v>
      </c>
    </row>
    <row r="47" spans="1:14" x14ac:dyDescent="0.3">
      <c r="A47" s="10" t="s">
        <v>223</v>
      </c>
      <c r="B47" s="10">
        <v>45522</v>
      </c>
      <c r="C47" s="10" t="s">
        <v>88</v>
      </c>
      <c r="D47" s="10" t="s">
        <v>89</v>
      </c>
      <c r="E47" s="10" t="s">
        <v>119</v>
      </c>
      <c r="F47" s="10" t="s">
        <v>120</v>
      </c>
      <c r="G47" s="10" t="s">
        <v>21</v>
      </c>
      <c r="H47" s="10">
        <v>2</v>
      </c>
      <c r="I47" s="10">
        <v>89.99</v>
      </c>
      <c r="J47" s="10" t="s">
        <v>22</v>
      </c>
      <c r="K47" s="10" t="s">
        <v>65</v>
      </c>
      <c r="L47" s="10" t="s">
        <v>29</v>
      </c>
      <c r="M47" s="10">
        <v>44972</v>
      </c>
      <c r="N47" s="10">
        <v>179.98</v>
      </c>
    </row>
    <row r="48" spans="1:14" x14ac:dyDescent="0.3">
      <c r="A48" s="10" t="s">
        <v>224</v>
      </c>
      <c r="B48" s="10">
        <v>45523</v>
      </c>
      <c r="C48" s="10" t="s">
        <v>198</v>
      </c>
      <c r="D48" s="10" t="s">
        <v>199</v>
      </c>
      <c r="E48" s="10" t="s">
        <v>63</v>
      </c>
      <c r="F48" s="10" t="s">
        <v>64</v>
      </c>
      <c r="G48" s="10" t="s">
        <v>21</v>
      </c>
      <c r="H48" s="10">
        <v>5</v>
      </c>
      <c r="I48" s="10">
        <v>899.99</v>
      </c>
      <c r="J48" s="10" t="s">
        <v>59</v>
      </c>
      <c r="K48" s="10" t="s">
        <v>65</v>
      </c>
      <c r="L48" s="10" t="s">
        <v>24</v>
      </c>
      <c r="M48" s="10">
        <v>44526</v>
      </c>
      <c r="N48" s="10">
        <v>4499.95</v>
      </c>
    </row>
    <row r="49" spans="1:14" x14ac:dyDescent="0.3">
      <c r="A49" s="10" t="s">
        <v>225</v>
      </c>
      <c r="B49" s="10">
        <v>45523</v>
      </c>
      <c r="C49" s="10" t="s">
        <v>110</v>
      </c>
      <c r="D49" s="10" t="s">
        <v>111</v>
      </c>
      <c r="E49" s="10" t="s">
        <v>54</v>
      </c>
      <c r="F49" s="10" t="s">
        <v>55</v>
      </c>
      <c r="G49" s="10" t="s">
        <v>21</v>
      </c>
      <c r="H49" s="10">
        <v>3</v>
      </c>
      <c r="I49" s="10">
        <v>149.99</v>
      </c>
      <c r="J49" s="10" t="s">
        <v>36</v>
      </c>
      <c r="K49" s="10" t="s">
        <v>65</v>
      </c>
      <c r="L49" s="10" t="s">
        <v>24</v>
      </c>
      <c r="M49" s="10">
        <v>44574</v>
      </c>
      <c r="N49" s="10">
        <v>449.97</v>
      </c>
    </row>
    <row r="50" spans="1:14" x14ac:dyDescent="0.3">
      <c r="A50" s="10" t="s">
        <v>230</v>
      </c>
      <c r="B50" s="10">
        <v>45528</v>
      </c>
      <c r="C50" s="10" t="s">
        <v>146</v>
      </c>
      <c r="D50" s="10" t="s">
        <v>147</v>
      </c>
      <c r="E50" s="10" t="s">
        <v>19</v>
      </c>
      <c r="F50" s="10" t="s">
        <v>20</v>
      </c>
      <c r="G50" s="10" t="s">
        <v>21</v>
      </c>
      <c r="H50" s="10">
        <v>2</v>
      </c>
      <c r="I50" s="10">
        <v>249.99</v>
      </c>
      <c r="J50" s="10" t="s">
        <v>22</v>
      </c>
      <c r="K50" s="10" t="s">
        <v>37</v>
      </c>
      <c r="L50" s="10" t="s">
        <v>38</v>
      </c>
      <c r="M50" s="10">
        <v>44572</v>
      </c>
      <c r="N50" s="10">
        <v>499.98</v>
      </c>
    </row>
    <row r="51" spans="1:14" x14ac:dyDescent="0.3">
      <c r="A51" s="10" t="s">
        <v>231</v>
      </c>
      <c r="B51" s="10">
        <v>45532</v>
      </c>
      <c r="C51" s="10" t="s">
        <v>198</v>
      </c>
      <c r="D51" s="10" t="s">
        <v>199</v>
      </c>
      <c r="E51" s="10" t="s">
        <v>82</v>
      </c>
      <c r="F51" s="10" t="s">
        <v>83</v>
      </c>
      <c r="G51" s="10" t="s">
        <v>21</v>
      </c>
      <c r="H51" s="10">
        <v>1</v>
      </c>
      <c r="I51" s="10">
        <v>699.99</v>
      </c>
      <c r="J51" s="10" t="s">
        <v>22</v>
      </c>
      <c r="K51" s="10" t="s">
        <v>23</v>
      </c>
      <c r="L51" s="10" t="s">
        <v>29</v>
      </c>
      <c r="M51" s="10">
        <v>44497</v>
      </c>
      <c r="N51" s="10">
        <v>699.99</v>
      </c>
    </row>
    <row r="52" spans="1:14" x14ac:dyDescent="0.3">
      <c r="A52" s="10" t="s">
        <v>232</v>
      </c>
      <c r="B52" s="10">
        <v>45532</v>
      </c>
      <c r="C52" s="10" t="s">
        <v>233</v>
      </c>
      <c r="D52" s="10" t="s">
        <v>234</v>
      </c>
      <c r="E52" s="10" t="s">
        <v>54</v>
      </c>
      <c r="F52" s="10" t="s">
        <v>55</v>
      </c>
      <c r="G52" s="10" t="s">
        <v>21</v>
      </c>
      <c r="H52" s="10">
        <v>3</v>
      </c>
      <c r="I52" s="10">
        <v>149.99</v>
      </c>
      <c r="J52" s="10" t="s">
        <v>22</v>
      </c>
      <c r="K52" s="10" t="s">
        <v>52</v>
      </c>
      <c r="L52" s="10" t="s">
        <v>29</v>
      </c>
      <c r="M52" s="10">
        <v>45212</v>
      </c>
      <c r="N52" s="10">
        <v>449.97</v>
      </c>
    </row>
    <row r="53" spans="1:14" x14ac:dyDescent="0.3">
      <c r="A53" s="10" t="s">
        <v>235</v>
      </c>
      <c r="B53" s="10">
        <v>45534</v>
      </c>
      <c r="C53" s="10" t="s">
        <v>236</v>
      </c>
      <c r="D53" s="10" t="s">
        <v>237</v>
      </c>
      <c r="E53" s="10" t="s">
        <v>82</v>
      </c>
      <c r="F53" s="10" t="s">
        <v>83</v>
      </c>
      <c r="G53" s="10" t="s">
        <v>21</v>
      </c>
      <c r="H53" s="10">
        <v>2</v>
      </c>
      <c r="I53" s="10">
        <v>699.99</v>
      </c>
      <c r="J53" s="10" t="s">
        <v>28</v>
      </c>
      <c r="K53" s="10" t="s">
        <v>42</v>
      </c>
      <c r="L53" s="10" t="s">
        <v>29</v>
      </c>
      <c r="M53" s="10">
        <v>44421</v>
      </c>
      <c r="N53" s="10">
        <v>1399.98</v>
      </c>
    </row>
    <row r="54" spans="1:14" x14ac:dyDescent="0.3">
      <c r="A54" s="10" t="s">
        <v>238</v>
      </c>
      <c r="B54" s="10">
        <v>45537</v>
      </c>
      <c r="C54" s="10" t="s">
        <v>233</v>
      </c>
      <c r="D54" s="10" t="s">
        <v>234</v>
      </c>
      <c r="E54" s="10" t="s">
        <v>19</v>
      </c>
      <c r="F54" s="10" t="s">
        <v>20</v>
      </c>
      <c r="G54" s="10" t="s">
        <v>21</v>
      </c>
      <c r="H54" s="10">
        <v>1</v>
      </c>
      <c r="I54" s="10">
        <v>249.99</v>
      </c>
      <c r="J54" s="10" t="s">
        <v>28</v>
      </c>
      <c r="K54" s="10" t="s">
        <v>52</v>
      </c>
      <c r="L54" s="10" t="s">
        <v>29</v>
      </c>
      <c r="M54" s="10">
        <v>44685</v>
      </c>
      <c r="N54" s="10">
        <v>249.99</v>
      </c>
    </row>
    <row r="55" spans="1:14" x14ac:dyDescent="0.3">
      <c r="A55" s="10" t="s">
        <v>239</v>
      </c>
      <c r="B55" s="10">
        <v>45537</v>
      </c>
      <c r="C55" s="10" t="s">
        <v>17</v>
      </c>
      <c r="D55" s="10" t="s">
        <v>18</v>
      </c>
      <c r="E55" s="10" t="s">
        <v>19</v>
      </c>
      <c r="F55" s="10" t="s">
        <v>20</v>
      </c>
      <c r="G55" s="10" t="s">
        <v>21</v>
      </c>
      <c r="H55" s="10">
        <v>1</v>
      </c>
      <c r="I55" s="10">
        <v>249.99</v>
      </c>
      <c r="J55" s="10" t="s">
        <v>59</v>
      </c>
      <c r="K55" s="10" t="s">
        <v>42</v>
      </c>
      <c r="L55" s="10" t="s">
        <v>29</v>
      </c>
      <c r="M55" s="10">
        <v>45332</v>
      </c>
      <c r="N55" s="10">
        <v>249.99</v>
      </c>
    </row>
    <row r="56" spans="1:14" x14ac:dyDescent="0.3">
      <c r="A56" s="10" t="s">
        <v>240</v>
      </c>
      <c r="B56" s="10">
        <v>45538</v>
      </c>
      <c r="C56" s="10" t="s">
        <v>228</v>
      </c>
      <c r="D56" s="10" t="s">
        <v>229</v>
      </c>
      <c r="E56" s="10" t="s">
        <v>82</v>
      </c>
      <c r="F56" s="10" t="s">
        <v>83</v>
      </c>
      <c r="G56" s="10" t="s">
        <v>21</v>
      </c>
      <c r="H56" s="10">
        <v>2</v>
      </c>
      <c r="I56" s="10">
        <v>699.99</v>
      </c>
      <c r="J56" s="10" t="s">
        <v>59</v>
      </c>
      <c r="K56" s="10" t="s">
        <v>23</v>
      </c>
      <c r="L56" s="10" t="s">
        <v>29</v>
      </c>
      <c r="M56" s="10">
        <v>44870</v>
      </c>
      <c r="N56" s="10">
        <v>1399.98</v>
      </c>
    </row>
    <row r="57" spans="1:14" x14ac:dyDescent="0.3">
      <c r="A57" s="10" t="s">
        <v>246</v>
      </c>
      <c r="B57" s="10">
        <v>45548</v>
      </c>
      <c r="C57" s="10" t="s">
        <v>40</v>
      </c>
      <c r="D57" s="10" t="s">
        <v>41</v>
      </c>
      <c r="E57" s="10" t="s">
        <v>119</v>
      </c>
      <c r="F57" s="10" t="s">
        <v>120</v>
      </c>
      <c r="G57" s="10" t="s">
        <v>21</v>
      </c>
      <c r="H57" s="10">
        <v>2</v>
      </c>
      <c r="I57" s="10">
        <v>89.99</v>
      </c>
      <c r="J57" s="10" t="s">
        <v>28</v>
      </c>
      <c r="K57" s="10" t="s">
        <v>37</v>
      </c>
      <c r="L57" s="10" t="s">
        <v>29</v>
      </c>
      <c r="M57" s="10">
        <v>44641</v>
      </c>
      <c r="N57" s="10">
        <v>179.98</v>
      </c>
    </row>
    <row r="58" spans="1:14" x14ac:dyDescent="0.3">
      <c r="A58" s="10" t="s">
        <v>247</v>
      </c>
      <c r="B58" s="10">
        <v>45550</v>
      </c>
      <c r="C58" s="10" t="s">
        <v>248</v>
      </c>
      <c r="D58" s="10" t="s">
        <v>249</v>
      </c>
      <c r="E58" s="10" t="s">
        <v>54</v>
      </c>
      <c r="F58" s="10" t="s">
        <v>55</v>
      </c>
      <c r="G58" s="10" t="s">
        <v>21</v>
      </c>
      <c r="H58" s="10">
        <v>4</v>
      </c>
      <c r="I58" s="10">
        <v>149.99</v>
      </c>
      <c r="J58" s="10" t="s">
        <v>22</v>
      </c>
      <c r="K58" s="10" t="s">
        <v>42</v>
      </c>
      <c r="L58" s="10" t="s">
        <v>24</v>
      </c>
      <c r="M58" s="10">
        <v>44909</v>
      </c>
      <c r="N58" s="10">
        <v>599.96</v>
      </c>
    </row>
    <row r="59" spans="1:14" x14ac:dyDescent="0.3">
      <c r="A59" s="10" t="s">
        <v>250</v>
      </c>
      <c r="B59" s="10">
        <v>45551</v>
      </c>
      <c r="C59" s="10" t="s">
        <v>67</v>
      </c>
      <c r="D59" s="10" t="s">
        <v>68</v>
      </c>
      <c r="E59" s="10" t="s">
        <v>19</v>
      </c>
      <c r="F59" s="10" t="s">
        <v>20</v>
      </c>
      <c r="G59" s="10" t="s">
        <v>21</v>
      </c>
      <c r="H59" s="10">
        <v>2</v>
      </c>
      <c r="I59" s="10">
        <v>249.99</v>
      </c>
      <c r="J59" s="10" t="s">
        <v>36</v>
      </c>
      <c r="K59" s="10" t="s">
        <v>37</v>
      </c>
      <c r="L59" s="10" t="s">
        <v>24</v>
      </c>
      <c r="M59" s="10">
        <v>44993</v>
      </c>
      <c r="N59" s="10">
        <v>499.98</v>
      </c>
    </row>
    <row r="60" spans="1:14" x14ac:dyDescent="0.3">
      <c r="A60" s="10" t="s">
        <v>252</v>
      </c>
      <c r="B60" s="10">
        <v>45554</v>
      </c>
      <c r="C60" s="10" t="s">
        <v>149</v>
      </c>
      <c r="D60" s="10" t="s">
        <v>150</v>
      </c>
      <c r="E60" s="10" t="s">
        <v>119</v>
      </c>
      <c r="F60" s="10" t="s">
        <v>120</v>
      </c>
      <c r="G60" s="10" t="s">
        <v>21</v>
      </c>
      <c r="H60" s="10">
        <v>5</v>
      </c>
      <c r="I60" s="10">
        <v>89.99</v>
      </c>
      <c r="J60" s="10" t="s">
        <v>28</v>
      </c>
      <c r="K60" s="10" t="s">
        <v>65</v>
      </c>
      <c r="L60" s="10" t="s">
        <v>29</v>
      </c>
      <c r="M60" s="10">
        <v>44446</v>
      </c>
      <c r="N60" s="10">
        <v>449.95</v>
      </c>
    </row>
    <row r="61" spans="1:14" x14ac:dyDescent="0.3">
      <c r="A61" s="10" t="s">
        <v>253</v>
      </c>
      <c r="B61" s="10">
        <v>45554</v>
      </c>
      <c r="C61" s="10" t="s">
        <v>254</v>
      </c>
      <c r="D61" s="10" t="s">
        <v>255</v>
      </c>
      <c r="E61" s="10" t="s">
        <v>54</v>
      </c>
      <c r="F61" s="10" t="s">
        <v>55</v>
      </c>
      <c r="G61" s="10" t="s">
        <v>21</v>
      </c>
      <c r="H61" s="10">
        <v>1</v>
      </c>
      <c r="I61" s="10">
        <v>149.99</v>
      </c>
      <c r="J61" s="10" t="s">
        <v>36</v>
      </c>
      <c r="K61" s="10" t="s">
        <v>65</v>
      </c>
      <c r="L61" s="10" t="s">
        <v>38</v>
      </c>
      <c r="M61" s="10">
        <v>44482</v>
      </c>
      <c r="N61" s="10">
        <v>149.99</v>
      </c>
    </row>
    <row r="62" spans="1:14" x14ac:dyDescent="0.3">
      <c r="A62" s="10" t="s">
        <v>256</v>
      </c>
      <c r="B62" s="10">
        <v>45554</v>
      </c>
      <c r="C62" s="10" t="s">
        <v>74</v>
      </c>
      <c r="D62" s="10" t="s">
        <v>75</v>
      </c>
      <c r="E62" s="10" t="s">
        <v>82</v>
      </c>
      <c r="F62" s="10" t="s">
        <v>83</v>
      </c>
      <c r="G62" s="10" t="s">
        <v>21</v>
      </c>
      <c r="H62" s="10">
        <v>4</v>
      </c>
      <c r="I62" s="10">
        <v>699.99</v>
      </c>
      <c r="J62" s="10" t="s">
        <v>36</v>
      </c>
      <c r="K62" s="10" t="s">
        <v>37</v>
      </c>
      <c r="L62" s="10" t="s">
        <v>24</v>
      </c>
      <c r="M62" s="10">
        <v>44618</v>
      </c>
      <c r="N62" s="10">
        <v>2799.96</v>
      </c>
    </row>
    <row r="63" spans="1:14" x14ac:dyDescent="0.3">
      <c r="A63" s="10" t="s">
        <v>257</v>
      </c>
      <c r="B63" s="10">
        <v>45559</v>
      </c>
      <c r="C63" s="10" t="s">
        <v>236</v>
      </c>
      <c r="D63" s="10" t="s">
        <v>237</v>
      </c>
      <c r="E63" s="10" t="s">
        <v>63</v>
      </c>
      <c r="F63" s="10" t="s">
        <v>64</v>
      </c>
      <c r="G63" s="10" t="s">
        <v>21</v>
      </c>
      <c r="H63" s="10">
        <v>3</v>
      </c>
      <c r="I63" s="10">
        <v>899.99</v>
      </c>
      <c r="J63" s="10" t="s">
        <v>28</v>
      </c>
      <c r="K63" s="10" t="s">
        <v>42</v>
      </c>
      <c r="L63" s="10" t="s">
        <v>38</v>
      </c>
      <c r="M63" s="10">
        <v>45157</v>
      </c>
      <c r="N63" s="10">
        <v>2699.97</v>
      </c>
    </row>
    <row r="64" spans="1:14" x14ac:dyDescent="0.3">
      <c r="A64" s="10" t="s">
        <v>265</v>
      </c>
      <c r="B64" s="10">
        <v>45572</v>
      </c>
      <c r="C64" s="10" t="s">
        <v>236</v>
      </c>
      <c r="D64" s="10" t="s">
        <v>237</v>
      </c>
      <c r="E64" s="10" t="s">
        <v>54</v>
      </c>
      <c r="F64" s="10" t="s">
        <v>55</v>
      </c>
      <c r="G64" s="10" t="s">
        <v>21</v>
      </c>
      <c r="H64" s="10">
        <v>4</v>
      </c>
      <c r="I64" s="10">
        <v>149.99</v>
      </c>
      <c r="J64" s="10" t="s">
        <v>28</v>
      </c>
      <c r="K64" s="10" t="s">
        <v>42</v>
      </c>
      <c r="L64" s="10" t="s">
        <v>29</v>
      </c>
      <c r="M64" s="10">
        <v>45076</v>
      </c>
      <c r="N64" s="10">
        <v>599.96</v>
      </c>
    </row>
    <row r="65" spans="1:14" x14ac:dyDescent="0.3">
      <c r="A65" s="10" t="s">
        <v>266</v>
      </c>
      <c r="B65" s="10">
        <v>45573</v>
      </c>
      <c r="C65" s="10" t="s">
        <v>213</v>
      </c>
      <c r="D65" s="10" t="s">
        <v>214</v>
      </c>
      <c r="E65" s="10" t="s">
        <v>82</v>
      </c>
      <c r="F65" s="10" t="s">
        <v>83</v>
      </c>
      <c r="G65" s="10" t="s">
        <v>21</v>
      </c>
      <c r="H65" s="10">
        <v>2</v>
      </c>
      <c r="I65" s="10">
        <v>699.99</v>
      </c>
      <c r="J65" s="10" t="s">
        <v>59</v>
      </c>
      <c r="K65" s="10" t="s">
        <v>65</v>
      </c>
      <c r="L65" s="10" t="s">
        <v>29</v>
      </c>
      <c r="M65" s="10">
        <v>45274</v>
      </c>
      <c r="N65" s="10">
        <v>1399.98</v>
      </c>
    </row>
    <row r="66" spans="1:14" x14ac:dyDescent="0.3">
      <c r="A66" s="10" t="s">
        <v>269</v>
      </c>
      <c r="B66" s="10">
        <v>45579</v>
      </c>
      <c r="C66" s="10" t="s">
        <v>85</v>
      </c>
      <c r="D66" s="10" t="s">
        <v>86</v>
      </c>
      <c r="E66" s="10" t="s">
        <v>63</v>
      </c>
      <c r="F66" s="10" t="s">
        <v>64</v>
      </c>
      <c r="G66" s="10" t="s">
        <v>21</v>
      </c>
      <c r="H66" s="10">
        <v>3</v>
      </c>
      <c r="I66" s="10">
        <v>899.99</v>
      </c>
      <c r="J66" s="10" t="s">
        <v>36</v>
      </c>
      <c r="K66" s="10" t="s">
        <v>52</v>
      </c>
      <c r="L66" s="10" t="s">
        <v>24</v>
      </c>
      <c r="M66" s="10">
        <v>45215</v>
      </c>
      <c r="N66" s="10">
        <v>2699.97</v>
      </c>
    </row>
    <row r="67" spans="1:14" x14ac:dyDescent="0.3">
      <c r="A67" s="10" t="s">
        <v>270</v>
      </c>
      <c r="B67" s="10">
        <v>45581</v>
      </c>
      <c r="C67" s="10" t="s">
        <v>98</v>
      </c>
      <c r="D67" s="10" t="s">
        <v>99</v>
      </c>
      <c r="E67" s="10" t="s">
        <v>82</v>
      </c>
      <c r="F67" s="10" t="s">
        <v>83</v>
      </c>
      <c r="G67" s="10" t="s">
        <v>21</v>
      </c>
      <c r="H67" s="10">
        <v>5</v>
      </c>
      <c r="I67" s="10">
        <v>699.99</v>
      </c>
      <c r="J67" s="10" t="s">
        <v>22</v>
      </c>
      <c r="K67" s="10" t="s">
        <v>65</v>
      </c>
      <c r="L67" s="10" t="s">
        <v>38</v>
      </c>
      <c r="M67" s="10">
        <v>45008</v>
      </c>
      <c r="N67" s="10">
        <v>3499.95</v>
      </c>
    </row>
    <row r="68" spans="1:14" x14ac:dyDescent="0.3">
      <c r="A68" s="10" t="s">
        <v>271</v>
      </c>
      <c r="B68" s="10">
        <v>45581</v>
      </c>
      <c r="C68" s="10" t="s">
        <v>173</v>
      </c>
      <c r="D68" s="10" t="s">
        <v>174</v>
      </c>
      <c r="E68" s="10" t="s">
        <v>82</v>
      </c>
      <c r="F68" s="10" t="s">
        <v>83</v>
      </c>
      <c r="G68" s="10" t="s">
        <v>21</v>
      </c>
      <c r="H68" s="10">
        <v>4</v>
      </c>
      <c r="I68" s="10">
        <v>699.99</v>
      </c>
      <c r="J68" s="10" t="s">
        <v>28</v>
      </c>
      <c r="K68" s="10" t="s">
        <v>23</v>
      </c>
      <c r="L68" s="10" t="s">
        <v>24</v>
      </c>
      <c r="M68" s="10">
        <v>45385</v>
      </c>
      <c r="N68" s="10">
        <v>2799.96</v>
      </c>
    </row>
    <row r="69" spans="1:14" x14ac:dyDescent="0.3">
      <c r="A69" s="10" t="s">
        <v>272</v>
      </c>
      <c r="B69" s="10">
        <v>45581</v>
      </c>
      <c r="C69" s="10" t="s">
        <v>152</v>
      </c>
      <c r="D69" s="10" t="s">
        <v>153</v>
      </c>
      <c r="E69" s="10" t="s">
        <v>63</v>
      </c>
      <c r="F69" s="10" t="s">
        <v>64</v>
      </c>
      <c r="G69" s="10" t="s">
        <v>21</v>
      </c>
      <c r="H69" s="10">
        <v>1</v>
      </c>
      <c r="I69" s="10">
        <v>899.99</v>
      </c>
      <c r="J69" s="10" t="s">
        <v>28</v>
      </c>
      <c r="K69" s="10" t="s">
        <v>65</v>
      </c>
      <c r="L69" s="10" t="s">
        <v>38</v>
      </c>
      <c r="M69" s="10">
        <v>45369</v>
      </c>
      <c r="N69" s="10">
        <v>899.99</v>
      </c>
    </row>
    <row r="70" spans="1:14" x14ac:dyDescent="0.3">
      <c r="A70" s="10" t="s">
        <v>273</v>
      </c>
      <c r="B70" s="10">
        <v>45583</v>
      </c>
      <c r="C70" s="10" t="s">
        <v>228</v>
      </c>
      <c r="D70" s="10" t="s">
        <v>229</v>
      </c>
      <c r="E70" s="10" t="s">
        <v>54</v>
      </c>
      <c r="F70" s="10" t="s">
        <v>55</v>
      </c>
      <c r="G70" s="10" t="s">
        <v>21</v>
      </c>
      <c r="H70" s="10">
        <v>2</v>
      </c>
      <c r="I70" s="10">
        <v>149.99</v>
      </c>
      <c r="J70" s="10" t="s">
        <v>28</v>
      </c>
      <c r="K70" s="10" t="s">
        <v>52</v>
      </c>
      <c r="L70" s="10" t="s">
        <v>24</v>
      </c>
      <c r="M70" s="10">
        <v>44916</v>
      </c>
      <c r="N70" s="10">
        <v>299.98</v>
      </c>
    </row>
    <row r="71" spans="1:14" x14ac:dyDescent="0.3">
      <c r="A71" s="10" t="s">
        <v>274</v>
      </c>
      <c r="B71" s="10">
        <v>45586</v>
      </c>
      <c r="C71" s="10" t="s">
        <v>228</v>
      </c>
      <c r="D71" s="10" t="s">
        <v>229</v>
      </c>
      <c r="E71" s="10" t="s">
        <v>119</v>
      </c>
      <c r="F71" s="10" t="s">
        <v>120</v>
      </c>
      <c r="G71" s="10" t="s">
        <v>21</v>
      </c>
      <c r="H71" s="10">
        <v>3</v>
      </c>
      <c r="I71" s="10">
        <v>89.99</v>
      </c>
      <c r="J71" s="10" t="s">
        <v>36</v>
      </c>
      <c r="K71" s="10" t="s">
        <v>23</v>
      </c>
      <c r="L71" s="10" t="s">
        <v>24</v>
      </c>
      <c r="M71" s="10">
        <v>44551</v>
      </c>
      <c r="N71" s="10">
        <v>269.97000000000003</v>
      </c>
    </row>
    <row r="72" spans="1:14" x14ac:dyDescent="0.3">
      <c r="A72" s="10" t="s">
        <v>275</v>
      </c>
      <c r="B72" s="10">
        <v>45588</v>
      </c>
      <c r="C72" s="10" t="s">
        <v>40</v>
      </c>
      <c r="D72" s="10" t="s">
        <v>41</v>
      </c>
      <c r="E72" s="10" t="s">
        <v>54</v>
      </c>
      <c r="F72" s="10" t="s">
        <v>55</v>
      </c>
      <c r="G72" s="10" t="s">
        <v>21</v>
      </c>
      <c r="H72" s="10">
        <v>2</v>
      </c>
      <c r="I72" s="10">
        <v>149.99</v>
      </c>
      <c r="J72" s="10" t="s">
        <v>36</v>
      </c>
      <c r="K72" s="10" t="s">
        <v>23</v>
      </c>
      <c r="L72" s="10" t="s">
        <v>24</v>
      </c>
      <c r="M72" s="10">
        <v>44473</v>
      </c>
      <c r="N72" s="10">
        <v>299.98</v>
      </c>
    </row>
    <row r="73" spans="1:14" x14ac:dyDescent="0.3">
      <c r="A73" s="10" t="s">
        <v>276</v>
      </c>
      <c r="B73" s="10">
        <v>45588</v>
      </c>
      <c r="C73" s="10" t="s">
        <v>156</v>
      </c>
      <c r="D73" s="10" t="s">
        <v>157</v>
      </c>
      <c r="E73" s="10" t="s">
        <v>82</v>
      </c>
      <c r="F73" s="10" t="s">
        <v>83</v>
      </c>
      <c r="G73" s="10" t="s">
        <v>21</v>
      </c>
      <c r="H73" s="10">
        <v>2</v>
      </c>
      <c r="I73" s="10">
        <v>699.99</v>
      </c>
      <c r="J73" s="10" t="s">
        <v>22</v>
      </c>
      <c r="K73" s="10" t="s">
        <v>23</v>
      </c>
      <c r="L73" s="10" t="s">
        <v>24</v>
      </c>
      <c r="M73" s="10">
        <v>44992</v>
      </c>
      <c r="N73" s="10">
        <v>1399.98</v>
      </c>
    </row>
    <row r="74" spans="1:14" x14ac:dyDescent="0.3">
      <c r="A74" s="10" t="s">
        <v>277</v>
      </c>
      <c r="B74" s="10">
        <v>45589</v>
      </c>
      <c r="C74" s="10" t="s">
        <v>160</v>
      </c>
      <c r="D74" s="10" t="s">
        <v>161</v>
      </c>
      <c r="E74" s="10" t="s">
        <v>82</v>
      </c>
      <c r="F74" s="10" t="s">
        <v>83</v>
      </c>
      <c r="G74" s="10" t="s">
        <v>21</v>
      </c>
      <c r="H74" s="10">
        <v>5</v>
      </c>
      <c r="I74" s="10">
        <v>699.99</v>
      </c>
      <c r="J74" s="10" t="s">
        <v>22</v>
      </c>
      <c r="K74" s="10" t="s">
        <v>42</v>
      </c>
      <c r="L74" s="10" t="s">
        <v>29</v>
      </c>
      <c r="M74" s="10">
        <v>44635</v>
      </c>
      <c r="N74" s="10">
        <v>3499.95</v>
      </c>
    </row>
    <row r="75" spans="1:14" x14ac:dyDescent="0.3">
      <c r="A75" s="10" t="s">
        <v>278</v>
      </c>
      <c r="B75" s="10">
        <v>45592</v>
      </c>
      <c r="C75" s="10" t="s">
        <v>173</v>
      </c>
      <c r="D75" s="10" t="s">
        <v>174</v>
      </c>
      <c r="E75" s="10" t="s">
        <v>119</v>
      </c>
      <c r="F75" s="10" t="s">
        <v>120</v>
      </c>
      <c r="G75" s="10" t="s">
        <v>21</v>
      </c>
      <c r="H75" s="10">
        <v>3</v>
      </c>
      <c r="I75" s="10">
        <v>89.99</v>
      </c>
      <c r="J75" s="10" t="s">
        <v>28</v>
      </c>
      <c r="K75" s="10" t="s">
        <v>42</v>
      </c>
      <c r="L75" s="10" t="s">
        <v>38</v>
      </c>
      <c r="M75" s="10">
        <v>44615</v>
      </c>
      <c r="N75" s="10">
        <v>269.97000000000003</v>
      </c>
    </row>
    <row r="76" spans="1:14" x14ac:dyDescent="0.3">
      <c r="A76" s="10" t="s">
        <v>279</v>
      </c>
      <c r="B76" s="10">
        <v>45597</v>
      </c>
      <c r="C76" s="10" t="s">
        <v>17</v>
      </c>
      <c r="D76" s="10" t="s">
        <v>18</v>
      </c>
      <c r="E76" s="10" t="s">
        <v>19</v>
      </c>
      <c r="F76" s="10" t="s">
        <v>20</v>
      </c>
      <c r="G76" s="10" t="s">
        <v>21</v>
      </c>
      <c r="H76" s="10">
        <v>5</v>
      </c>
      <c r="I76" s="10">
        <v>249.99</v>
      </c>
      <c r="J76" s="10" t="s">
        <v>28</v>
      </c>
      <c r="K76" s="10" t="s">
        <v>37</v>
      </c>
      <c r="L76" s="10" t="s">
        <v>38</v>
      </c>
      <c r="M76" s="10">
        <v>44881</v>
      </c>
      <c r="N76" s="10">
        <v>1249.95</v>
      </c>
    </row>
    <row r="77" spans="1:14" x14ac:dyDescent="0.3">
      <c r="A77" s="10" t="s">
        <v>281</v>
      </c>
      <c r="B77" s="10">
        <v>45603</v>
      </c>
      <c r="C77" s="10" t="s">
        <v>101</v>
      </c>
      <c r="D77" s="10" t="s">
        <v>102</v>
      </c>
      <c r="E77" s="10" t="s">
        <v>119</v>
      </c>
      <c r="F77" s="10" t="s">
        <v>120</v>
      </c>
      <c r="G77" s="10" t="s">
        <v>21</v>
      </c>
      <c r="H77" s="10">
        <v>3</v>
      </c>
      <c r="I77" s="10">
        <v>89.99</v>
      </c>
      <c r="J77" s="10" t="s">
        <v>28</v>
      </c>
      <c r="K77" s="10" t="s">
        <v>42</v>
      </c>
      <c r="L77" s="10" t="s">
        <v>29</v>
      </c>
      <c r="M77" s="10">
        <v>44420</v>
      </c>
      <c r="N77" s="10">
        <v>269.97000000000003</v>
      </c>
    </row>
    <row r="78" spans="1:14" x14ac:dyDescent="0.3">
      <c r="A78" s="10" t="s">
        <v>283</v>
      </c>
      <c r="B78" s="10">
        <v>45605</v>
      </c>
      <c r="C78" s="10" t="s">
        <v>187</v>
      </c>
      <c r="D78" s="10" t="s">
        <v>188</v>
      </c>
      <c r="E78" s="10" t="s">
        <v>19</v>
      </c>
      <c r="F78" s="10" t="s">
        <v>20</v>
      </c>
      <c r="G78" s="10" t="s">
        <v>21</v>
      </c>
      <c r="H78" s="10">
        <v>1</v>
      </c>
      <c r="I78" s="10">
        <v>249.99</v>
      </c>
      <c r="J78" s="10" t="s">
        <v>28</v>
      </c>
      <c r="K78" s="10" t="s">
        <v>42</v>
      </c>
      <c r="L78" s="10" t="s">
        <v>29</v>
      </c>
      <c r="M78" s="10">
        <v>44828</v>
      </c>
      <c r="N78" s="10">
        <v>249.99</v>
      </c>
    </row>
    <row r="79" spans="1:14" x14ac:dyDescent="0.3">
      <c r="A79" s="10" t="s">
        <v>284</v>
      </c>
      <c r="B79" s="10">
        <v>45607</v>
      </c>
      <c r="C79" s="10" t="s">
        <v>74</v>
      </c>
      <c r="D79" s="10" t="s">
        <v>75</v>
      </c>
      <c r="E79" s="10" t="s">
        <v>54</v>
      </c>
      <c r="F79" s="10" t="s">
        <v>55</v>
      </c>
      <c r="G79" s="10" t="s">
        <v>21</v>
      </c>
      <c r="H79" s="10">
        <v>3</v>
      </c>
      <c r="I79" s="10">
        <v>149.99</v>
      </c>
      <c r="J79" s="10" t="s">
        <v>22</v>
      </c>
      <c r="K79" s="10" t="s">
        <v>42</v>
      </c>
      <c r="L79" s="10" t="s">
        <v>24</v>
      </c>
      <c r="M79" s="10">
        <v>44769</v>
      </c>
      <c r="N79" s="10">
        <v>449.97</v>
      </c>
    </row>
    <row r="80" spans="1:14" x14ac:dyDescent="0.3">
      <c r="A80" s="10" t="s">
        <v>286</v>
      </c>
      <c r="B80" s="10">
        <v>45607</v>
      </c>
      <c r="C80" s="10" t="s">
        <v>101</v>
      </c>
      <c r="D80" s="10" t="s">
        <v>102</v>
      </c>
      <c r="E80" s="10" t="s">
        <v>19</v>
      </c>
      <c r="F80" s="10" t="s">
        <v>20</v>
      </c>
      <c r="G80" s="10" t="s">
        <v>21</v>
      </c>
      <c r="H80" s="10">
        <v>4</v>
      </c>
      <c r="I80" s="10">
        <v>249.99</v>
      </c>
      <c r="J80" s="10" t="s">
        <v>28</v>
      </c>
      <c r="K80" s="10" t="s">
        <v>52</v>
      </c>
      <c r="L80" s="10" t="s">
        <v>38</v>
      </c>
      <c r="M80" s="10">
        <v>44659</v>
      </c>
      <c r="N80" s="10">
        <v>999.96</v>
      </c>
    </row>
    <row r="81" spans="1:14" x14ac:dyDescent="0.3">
      <c r="A81" s="10" t="s">
        <v>290</v>
      </c>
      <c r="B81" s="10">
        <v>45613</v>
      </c>
      <c r="C81" s="10" t="s">
        <v>88</v>
      </c>
      <c r="D81" s="10" t="s">
        <v>89</v>
      </c>
      <c r="E81" s="10" t="s">
        <v>82</v>
      </c>
      <c r="F81" s="10" t="s">
        <v>83</v>
      </c>
      <c r="G81" s="10" t="s">
        <v>21</v>
      </c>
      <c r="H81" s="10">
        <v>2</v>
      </c>
      <c r="I81" s="10">
        <v>699.99</v>
      </c>
      <c r="J81" s="10" t="s">
        <v>36</v>
      </c>
      <c r="K81" s="10" t="s">
        <v>52</v>
      </c>
      <c r="L81" s="10" t="s">
        <v>38</v>
      </c>
      <c r="M81" s="10">
        <v>44770</v>
      </c>
      <c r="N81" s="10">
        <v>1399.98</v>
      </c>
    </row>
    <row r="82" spans="1:14" x14ac:dyDescent="0.3">
      <c r="A82" s="10" t="s">
        <v>293</v>
      </c>
      <c r="B82" s="10">
        <v>45619</v>
      </c>
      <c r="C82" s="10" t="s">
        <v>156</v>
      </c>
      <c r="D82" s="10" t="s">
        <v>157</v>
      </c>
      <c r="E82" s="10" t="s">
        <v>82</v>
      </c>
      <c r="F82" s="10" t="s">
        <v>83</v>
      </c>
      <c r="G82" s="10" t="s">
        <v>21</v>
      </c>
      <c r="H82" s="10">
        <v>3</v>
      </c>
      <c r="I82" s="10">
        <v>699.99</v>
      </c>
      <c r="J82" s="10" t="s">
        <v>36</v>
      </c>
      <c r="K82" s="10" t="s">
        <v>52</v>
      </c>
      <c r="L82" s="10" t="s">
        <v>38</v>
      </c>
      <c r="M82" s="10">
        <v>44583</v>
      </c>
      <c r="N82" s="10">
        <v>2099.9699999999998</v>
      </c>
    </row>
    <row r="83" spans="1:14" x14ac:dyDescent="0.3">
      <c r="A83" s="10" t="s">
        <v>294</v>
      </c>
      <c r="B83" s="10">
        <v>45622</v>
      </c>
      <c r="C83" s="10" t="s">
        <v>295</v>
      </c>
      <c r="D83" s="10" t="s">
        <v>296</v>
      </c>
      <c r="E83" s="10" t="s">
        <v>19</v>
      </c>
      <c r="F83" s="10" t="s">
        <v>20</v>
      </c>
      <c r="G83" s="10" t="s">
        <v>21</v>
      </c>
      <c r="H83" s="10">
        <v>5</v>
      </c>
      <c r="I83" s="10">
        <v>249.99</v>
      </c>
      <c r="J83" s="10" t="s">
        <v>28</v>
      </c>
      <c r="K83" s="10" t="s">
        <v>42</v>
      </c>
      <c r="L83" s="10" t="s">
        <v>24</v>
      </c>
      <c r="M83" s="10">
        <v>44873</v>
      </c>
      <c r="N83" s="10">
        <v>1249.95</v>
      </c>
    </row>
    <row r="84" spans="1:14" x14ac:dyDescent="0.3">
      <c r="A84" s="10" t="s">
        <v>299</v>
      </c>
      <c r="B84" s="10">
        <v>45627</v>
      </c>
      <c r="C84" s="10" t="s">
        <v>57</v>
      </c>
      <c r="D84" s="10" t="s">
        <v>58</v>
      </c>
      <c r="E84" s="10" t="s">
        <v>19</v>
      </c>
      <c r="F84" s="10" t="s">
        <v>20</v>
      </c>
      <c r="G84" s="10" t="s">
        <v>21</v>
      </c>
      <c r="H84" s="10">
        <v>5</v>
      </c>
      <c r="I84" s="10">
        <v>249.99</v>
      </c>
      <c r="J84" s="10" t="s">
        <v>22</v>
      </c>
      <c r="K84" s="10" t="s">
        <v>23</v>
      </c>
      <c r="L84" s="10" t="s">
        <v>29</v>
      </c>
      <c r="M84" s="10">
        <v>44485</v>
      </c>
      <c r="N84" s="10">
        <v>1249.95</v>
      </c>
    </row>
    <row r="85" spans="1:14" x14ac:dyDescent="0.3">
      <c r="A85" s="10" t="s">
        <v>300</v>
      </c>
      <c r="B85" s="10">
        <v>45627</v>
      </c>
      <c r="C85" s="10" t="s">
        <v>26</v>
      </c>
      <c r="D85" s="10" t="s">
        <v>27</v>
      </c>
      <c r="E85" s="10" t="s">
        <v>54</v>
      </c>
      <c r="F85" s="10" t="s">
        <v>55</v>
      </c>
      <c r="G85" s="10" t="s">
        <v>21</v>
      </c>
      <c r="H85" s="10">
        <v>2</v>
      </c>
      <c r="I85" s="10">
        <v>149.99</v>
      </c>
      <c r="J85" s="10" t="s">
        <v>22</v>
      </c>
      <c r="K85" s="10" t="s">
        <v>37</v>
      </c>
      <c r="L85" s="10" t="s">
        <v>29</v>
      </c>
      <c r="M85" s="10">
        <v>44475</v>
      </c>
      <c r="N85" s="10">
        <v>299.98</v>
      </c>
    </row>
    <row r="86" spans="1:14" x14ac:dyDescent="0.3">
      <c r="A86" s="10" t="s">
        <v>301</v>
      </c>
      <c r="B86" s="10">
        <v>45627</v>
      </c>
      <c r="C86" s="10" t="s">
        <v>88</v>
      </c>
      <c r="D86" s="10" t="s">
        <v>89</v>
      </c>
      <c r="E86" s="10" t="s">
        <v>82</v>
      </c>
      <c r="F86" s="10" t="s">
        <v>83</v>
      </c>
      <c r="G86" s="10" t="s">
        <v>21</v>
      </c>
      <c r="H86" s="10">
        <v>5</v>
      </c>
      <c r="I86" s="10">
        <v>699.99</v>
      </c>
      <c r="J86" s="10" t="s">
        <v>59</v>
      </c>
      <c r="K86" s="10" t="s">
        <v>52</v>
      </c>
      <c r="L86" s="10" t="s">
        <v>38</v>
      </c>
      <c r="M86" s="10">
        <v>44944</v>
      </c>
      <c r="N86" s="10">
        <v>3499.95</v>
      </c>
    </row>
    <row r="87" spans="1:14" x14ac:dyDescent="0.3">
      <c r="A87" s="10" t="s">
        <v>302</v>
      </c>
      <c r="B87" s="10">
        <v>45629</v>
      </c>
      <c r="C87" s="10" t="s">
        <v>254</v>
      </c>
      <c r="D87" s="10" t="s">
        <v>255</v>
      </c>
      <c r="E87" s="10" t="s">
        <v>19</v>
      </c>
      <c r="F87" s="10" t="s">
        <v>20</v>
      </c>
      <c r="G87" s="10" t="s">
        <v>21</v>
      </c>
      <c r="H87" s="10">
        <v>4</v>
      </c>
      <c r="I87" s="10">
        <v>249.99</v>
      </c>
      <c r="J87" s="10" t="s">
        <v>36</v>
      </c>
      <c r="K87" s="10" t="s">
        <v>65</v>
      </c>
      <c r="L87" s="10" t="s">
        <v>29</v>
      </c>
      <c r="M87" s="10">
        <v>45098</v>
      </c>
      <c r="N87" s="10">
        <v>999.96</v>
      </c>
    </row>
    <row r="88" spans="1:14" x14ac:dyDescent="0.3">
      <c r="A88" s="10" t="s">
        <v>303</v>
      </c>
      <c r="B88" s="10">
        <v>45630</v>
      </c>
      <c r="C88" s="10" t="s">
        <v>50</v>
      </c>
      <c r="D88" s="10" t="s">
        <v>51</v>
      </c>
      <c r="E88" s="10" t="s">
        <v>82</v>
      </c>
      <c r="F88" s="10" t="s">
        <v>83</v>
      </c>
      <c r="G88" s="10" t="s">
        <v>21</v>
      </c>
      <c r="H88" s="10">
        <v>4</v>
      </c>
      <c r="I88" s="10">
        <v>699.99</v>
      </c>
      <c r="J88" s="10" t="s">
        <v>28</v>
      </c>
      <c r="K88" s="10" t="s">
        <v>42</v>
      </c>
      <c r="L88" s="10" t="s">
        <v>29</v>
      </c>
      <c r="M88" s="10">
        <v>44703</v>
      </c>
      <c r="N88" s="10">
        <v>2799.96</v>
      </c>
    </row>
    <row r="89" spans="1:14" x14ac:dyDescent="0.3">
      <c r="A89" s="10" t="s">
        <v>304</v>
      </c>
      <c r="B89" s="10">
        <v>45635</v>
      </c>
      <c r="C89" s="10" t="s">
        <v>110</v>
      </c>
      <c r="D89" s="10" t="s">
        <v>111</v>
      </c>
      <c r="E89" s="10" t="s">
        <v>19</v>
      </c>
      <c r="F89" s="10" t="s">
        <v>20</v>
      </c>
      <c r="G89" s="10" t="s">
        <v>21</v>
      </c>
      <c r="H89" s="10">
        <v>2</v>
      </c>
      <c r="I89" s="10">
        <v>249.99</v>
      </c>
      <c r="J89" s="10" t="s">
        <v>28</v>
      </c>
      <c r="K89" s="10" t="s">
        <v>23</v>
      </c>
      <c r="L89" s="10" t="s">
        <v>29</v>
      </c>
      <c r="M89" s="10">
        <v>44396</v>
      </c>
      <c r="N89" s="10">
        <v>499.98</v>
      </c>
    </row>
    <row r="90" spans="1:14" x14ac:dyDescent="0.3">
      <c r="A90" s="10" t="s">
        <v>310</v>
      </c>
      <c r="B90" s="10">
        <v>45638</v>
      </c>
      <c r="C90" s="10" t="s">
        <v>74</v>
      </c>
      <c r="D90" s="10" t="s">
        <v>75</v>
      </c>
      <c r="E90" s="10" t="s">
        <v>63</v>
      </c>
      <c r="F90" s="10" t="s">
        <v>64</v>
      </c>
      <c r="G90" s="10" t="s">
        <v>21</v>
      </c>
      <c r="H90" s="10">
        <v>2</v>
      </c>
      <c r="I90" s="10">
        <v>899.99</v>
      </c>
      <c r="J90" s="10" t="s">
        <v>22</v>
      </c>
      <c r="K90" s="10" t="s">
        <v>42</v>
      </c>
      <c r="L90" s="10" t="s">
        <v>24</v>
      </c>
      <c r="M90" s="10">
        <v>44406</v>
      </c>
      <c r="N90" s="10">
        <v>1799.98</v>
      </c>
    </row>
    <row r="91" spans="1:14" x14ac:dyDescent="0.3">
      <c r="A91" s="10" t="s">
        <v>314</v>
      </c>
      <c r="B91" s="10">
        <v>45645</v>
      </c>
      <c r="C91" s="10" t="s">
        <v>184</v>
      </c>
      <c r="D91" s="10" t="s">
        <v>185</v>
      </c>
      <c r="E91" s="10" t="s">
        <v>119</v>
      </c>
      <c r="F91" s="10" t="s">
        <v>120</v>
      </c>
      <c r="G91" s="10" t="s">
        <v>21</v>
      </c>
      <c r="H91" s="10">
        <v>1</v>
      </c>
      <c r="I91" s="10">
        <v>89.99</v>
      </c>
      <c r="J91" s="10" t="s">
        <v>59</v>
      </c>
      <c r="K91" s="10" t="s">
        <v>23</v>
      </c>
      <c r="L91" s="10" t="s">
        <v>38</v>
      </c>
      <c r="M91" s="10">
        <v>44760</v>
      </c>
      <c r="N91" s="10">
        <v>89.99</v>
      </c>
    </row>
    <row r="92" spans="1:14" x14ac:dyDescent="0.3">
      <c r="A92" s="10" t="s">
        <v>315</v>
      </c>
      <c r="B92" s="10">
        <v>45645</v>
      </c>
      <c r="C92" s="10" t="s">
        <v>149</v>
      </c>
      <c r="D92" s="10" t="s">
        <v>150</v>
      </c>
      <c r="E92" s="10" t="s">
        <v>63</v>
      </c>
      <c r="F92" s="10" t="s">
        <v>64</v>
      </c>
      <c r="G92" s="10" t="s">
        <v>21</v>
      </c>
      <c r="H92" s="10">
        <v>5</v>
      </c>
      <c r="I92" s="10">
        <v>899.99</v>
      </c>
      <c r="J92" s="10" t="s">
        <v>59</v>
      </c>
      <c r="K92" s="10" t="s">
        <v>65</v>
      </c>
      <c r="L92" s="10" t="s">
        <v>38</v>
      </c>
      <c r="M92" s="10">
        <v>44625</v>
      </c>
      <c r="N92" s="10">
        <v>4499.95</v>
      </c>
    </row>
    <row r="93" spans="1:14" x14ac:dyDescent="0.3">
      <c r="A93" s="10" t="s">
        <v>317</v>
      </c>
      <c r="B93" s="10">
        <v>45648</v>
      </c>
      <c r="C93" s="10" t="s">
        <v>114</v>
      </c>
      <c r="D93" s="10" t="s">
        <v>115</v>
      </c>
      <c r="E93" s="10" t="s">
        <v>54</v>
      </c>
      <c r="F93" s="10" t="s">
        <v>55</v>
      </c>
      <c r="G93" s="10" t="s">
        <v>21</v>
      </c>
      <c r="H93" s="10">
        <v>2</v>
      </c>
      <c r="I93" s="10">
        <v>149.99</v>
      </c>
      <c r="J93" s="10" t="s">
        <v>59</v>
      </c>
      <c r="K93" s="10" t="s">
        <v>52</v>
      </c>
      <c r="L93" s="10" t="s">
        <v>29</v>
      </c>
      <c r="M93" s="10">
        <v>45280</v>
      </c>
      <c r="N93" s="10">
        <v>299.98</v>
      </c>
    </row>
    <row r="94" spans="1:14" x14ac:dyDescent="0.3">
      <c r="A94" s="10" t="s">
        <v>322</v>
      </c>
      <c r="B94" s="10">
        <v>45655</v>
      </c>
      <c r="C94" s="10" t="s">
        <v>61</v>
      </c>
      <c r="D94" s="10" t="s">
        <v>62</v>
      </c>
      <c r="E94" s="10" t="s">
        <v>119</v>
      </c>
      <c r="F94" s="10" t="s">
        <v>120</v>
      </c>
      <c r="G94" s="10" t="s">
        <v>21</v>
      </c>
      <c r="H94" s="10">
        <v>1</v>
      </c>
      <c r="I94" s="10">
        <v>89.99</v>
      </c>
      <c r="J94" s="10" t="s">
        <v>28</v>
      </c>
      <c r="K94" s="10" t="s">
        <v>37</v>
      </c>
      <c r="L94" s="10" t="s">
        <v>29</v>
      </c>
      <c r="M94" s="10">
        <v>44591</v>
      </c>
      <c r="N94" s="10">
        <v>89.99</v>
      </c>
    </row>
    <row r="95" spans="1:14" x14ac:dyDescent="0.3">
      <c r="A95" s="10" t="s">
        <v>324</v>
      </c>
      <c r="B95" s="10">
        <v>45657</v>
      </c>
      <c r="C95" s="10" t="s">
        <v>88</v>
      </c>
      <c r="D95" s="10" t="s">
        <v>89</v>
      </c>
      <c r="E95" s="10" t="s">
        <v>63</v>
      </c>
      <c r="F95" s="10" t="s">
        <v>64</v>
      </c>
      <c r="G95" s="10" t="s">
        <v>21</v>
      </c>
      <c r="H95" s="10">
        <v>1</v>
      </c>
      <c r="I95" s="10">
        <v>899.99</v>
      </c>
      <c r="J95" s="10" t="s">
        <v>36</v>
      </c>
      <c r="K95" s="10" t="s">
        <v>42</v>
      </c>
      <c r="L95" s="10" t="s">
        <v>29</v>
      </c>
      <c r="M95" s="10">
        <v>45050</v>
      </c>
      <c r="N95" s="10">
        <v>899.99</v>
      </c>
    </row>
    <row r="96" spans="1:14" x14ac:dyDescent="0.3">
      <c r="A96" s="10" t="s">
        <v>325</v>
      </c>
      <c r="B96" s="10">
        <v>45660</v>
      </c>
      <c r="C96" s="10" t="s">
        <v>149</v>
      </c>
      <c r="D96" s="10" t="s">
        <v>150</v>
      </c>
      <c r="E96" s="10" t="s">
        <v>119</v>
      </c>
      <c r="F96" s="10" t="s">
        <v>120</v>
      </c>
      <c r="G96" s="10" t="s">
        <v>21</v>
      </c>
      <c r="H96" s="10">
        <v>2</v>
      </c>
      <c r="I96" s="10">
        <v>89.99</v>
      </c>
      <c r="J96" s="10" t="s">
        <v>28</v>
      </c>
      <c r="K96" s="10" t="s">
        <v>37</v>
      </c>
      <c r="L96" s="10" t="s">
        <v>29</v>
      </c>
      <c r="M96" s="10">
        <v>44564</v>
      </c>
      <c r="N96" s="10">
        <v>179.98</v>
      </c>
    </row>
    <row r="97" spans="1:14" x14ac:dyDescent="0.3">
      <c r="A97" s="10" t="s">
        <v>326</v>
      </c>
      <c r="B97" s="10">
        <v>45661</v>
      </c>
      <c r="C97" s="10" t="s">
        <v>327</v>
      </c>
      <c r="D97" s="10" t="s">
        <v>328</v>
      </c>
      <c r="E97" s="10" t="s">
        <v>63</v>
      </c>
      <c r="F97" s="10" t="s">
        <v>64</v>
      </c>
      <c r="G97" s="10" t="s">
        <v>21</v>
      </c>
      <c r="H97" s="10">
        <v>1</v>
      </c>
      <c r="I97" s="10">
        <v>899.99</v>
      </c>
      <c r="J97" s="10" t="s">
        <v>36</v>
      </c>
      <c r="K97" s="10" t="s">
        <v>42</v>
      </c>
      <c r="L97" s="10" t="s">
        <v>38</v>
      </c>
      <c r="M97" s="10">
        <v>44752</v>
      </c>
      <c r="N97" s="10">
        <v>899.99</v>
      </c>
    </row>
    <row r="98" spans="1:14" x14ac:dyDescent="0.3">
      <c r="A98" s="10" t="s">
        <v>329</v>
      </c>
      <c r="B98" s="10">
        <v>45663</v>
      </c>
      <c r="C98" s="10" t="s">
        <v>131</v>
      </c>
      <c r="D98" s="10" t="s">
        <v>132</v>
      </c>
      <c r="E98" s="10" t="s">
        <v>54</v>
      </c>
      <c r="F98" s="10" t="s">
        <v>55</v>
      </c>
      <c r="G98" s="10" t="s">
        <v>21</v>
      </c>
      <c r="H98" s="10">
        <v>5</v>
      </c>
      <c r="I98" s="10">
        <v>149.99</v>
      </c>
      <c r="J98" s="10" t="s">
        <v>36</v>
      </c>
      <c r="K98" s="10" t="s">
        <v>65</v>
      </c>
      <c r="L98" s="10" t="s">
        <v>29</v>
      </c>
      <c r="M98" s="10">
        <v>44824</v>
      </c>
      <c r="N98" s="10">
        <v>749.95</v>
      </c>
    </row>
    <row r="99" spans="1:14" x14ac:dyDescent="0.3">
      <c r="A99" s="10" t="s">
        <v>331</v>
      </c>
      <c r="B99" s="10">
        <v>45666</v>
      </c>
      <c r="C99" s="10" t="s">
        <v>67</v>
      </c>
      <c r="D99" s="10" t="s">
        <v>68</v>
      </c>
      <c r="E99" s="10" t="s">
        <v>82</v>
      </c>
      <c r="F99" s="10" t="s">
        <v>83</v>
      </c>
      <c r="G99" s="10" t="s">
        <v>21</v>
      </c>
      <c r="H99" s="10">
        <v>3</v>
      </c>
      <c r="I99" s="10">
        <v>699.99</v>
      </c>
      <c r="J99" s="10" t="s">
        <v>28</v>
      </c>
      <c r="K99" s="10" t="s">
        <v>23</v>
      </c>
      <c r="L99" s="10" t="s">
        <v>29</v>
      </c>
      <c r="M99" s="10">
        <v>45105</v>
      </c>
      <c r="N99" s="10">
        <v>2099.9699999999998</v>
      </c>
    </row>
    <row r="100" spans="1:14" x14ac:dyDescent="0.3">
      <c r="A100" s="10" t="s">
        <v>333</v>
      </c>
      <c r="B100" s="10">
        <v>45667</v>
      </c>
      <c r="C100" s="10" t="s">
        <v>95</v>
      </c>
      <c r="D100" s="10" t="s">
        <v>96</v>
      </c>
      <c r="E100" s="10" t="s">
        <v>19</v>
      </c>
      <c r="F100" s="10" t="s">
        <v>20</v>
      </c>
      <c r="G100" s="10" t="s">
        <v>21</v>
      </c>
      <c r="H100" s="10">
        <v>5</v>
      </c>
      <c r="I100" s="10">
        <v>249.99</v>
      </c>
      <c r="J100" s="10" t="s">
        <v>28</v>
      </c>
      <c r="K100" s="10" t="s">
        <v>37</v>
      </c>
      <c r="L100" s="10" t="s">
        <v>24</v>
      </c>
      <c r="M100" s="10">
        <v>45330</v>
      </c>
      <c r="N100" s="10">
        <v>1249.95</v>
      </c>
    </row>
    <row r="101" spans="1:14" x14ac:dyDescent="0.3">
      <c r="A101" s="10" t="s">
        <v>334</v>
      </c>
      <c r="B101" s="10">
        <v>45668</v>
      </c>
      <c r="C101" s="10" t="s">
        <v>140</v>
      </c>
      <c r="D101" s="10" t="s">
        <v>141</v>
      </c>
      <c r="E101" s="10" t="s">
        <v>54</v>
      </c>
      <c r="F101" s="10" t="s">
        <v>55</v>
      </c>
      <c r="G101" s="10" t="s">
        <v>21</v>
      </c>
      <c r="H101" s="10">
        <v>4</v>
      </c>
      <c r="I101" s="10">
        <v>149.99</v>
      </c>
      <c r="J101" s="10" t="s">
        <v>59</v>
      </c>
      <c r="K101" s="10" t="s">
        <v>65</v>
      </c>
      <c r="L101" s="10" t="s">
        <v>38</v>
      </c>
      <c r="M101" s="10">
        <v>44536</v>
      </c>
      <c r="N101" s="10">
        <v>599.96</v>
      </c>
    </row>
    <row r="102" spans="1:14" x14ac:dyDescent="0.3">
      <c r="A102" s="10" t="s">
        <v>335</v>
      </c>
      <c r="B102" s="10">
        <v>45668</v>
      </c>
      <c r="C102" s="10" t="s">
        <v>80</v>
      </c>
      <c r="D102" s="10" t="s">
        <v>81</v>
      </c>
      <c r="E102" s="10" t="s">
        <v>82</v>
      </c>
      <c r="F102" s="10" t="s">
        <v>83</v>
      </c>
      <c r="G102" s="10" t="s">
        <v>21</v>
      </c>
      <c r="H102" s="10">
        <v>3</v>
      </c>
      <c r="I102" s="10">
        <v>699.99</v>
      </c>
      <c r="J102" s="10" t="s">
        <v>22</v>
      </c>
      <c r="K102" s="10" t="s">
        <v>42</v>
      </c>
      <c r="L102" s="10" t="s">
        <v>29</v>
      </c>
      <c r="M102" s="10">
        <v>44602</v>
      </c>
      <c r="N102" s="10">
        <v>2099.9699999999998</v>
      </c>
    </row>
    <row r="103" spans="1:14" x14ac:dyDescent="0.3">
      <c r="A103" s="10" t="s">
        <v>338</v>
      </c>
      <c r="B103" s="10">
        <v>45671</v>
      </c>
      <c r="C103" s="10" t="s">
        <v>160</v>
      </c>
      <c r="D103" s="10" t="s">
        <v>161</v>
      </c>
      <c r="E103" s="10" t="s">
        <v>19</v>
      </c>
      <c r="F103" s="10" t="s">
        <v>20</v>
      </c>
      <c r="G103" s="10" t="s">
        <v>21</v>
      </c>
      <c r="H103" s="10">
        <v>4</v>
      </c>
      <c r="I103" s="10">
        <v>249.99</v>
      </c>
      <c r="J103" s="10" t="s">
        <v>28</v>
      </c>
      <c r="K103" s="10" t="s">
        <v>42</v>
      </c>
      <c r="L103" s="10" t="s">
        <v>29</v>
      </c>
      <c r="M103" s="10">
        <v>44460</v>
      </c>
      <c r="N103" s="10">
        <v>999.96</v>
      </c>
    </row>
    <row r="104" spans="1:14" x14ac:dyDescent="0.3">
      <c r="A104" s="10" t="s">
        <v>339</v>
      </c>
      <c r="B104" s="10">
        <v>45671</v>
      </c>
      <c r="C104" s="10" t="s">
        <v>122</v>
      </c>
      <c r="D104" s="10" t="s">
        <v>123</v>
      </c>
      <c r="E104" s="10" t="s">
        <v>54</v>
      </c>
      <c r="F104" s="10" t="s">
        <v>55</v>
      </c>
      <c r="G104" s="10" t="s">
        <v>21</v>
      </c>
      <c r="H104" s="10">
        <v>2</v>
      </c>
      <c r="I104" s="10">
        <v>149.99</v>
      </c>
      <c r="J104" s="10" t="s">
        <v>22</v>
      </c>
      <c r="K104" s="10" t="s">
        <v>42</v>
      </c>
      <c r="L104" s="10" t="s">
        <v>38</v>
      </c>
      <c r="M104" s="10">
        <v>44913</v>
      </c>
      <c r="N104" s="10">
        <v>299.98</v>
      </c>
    </row>
    <row r="105" spans="1:14" x14ac:dyDescent="0.3">
      <c r="A105" s="10" t="s">
        <v>346</v>
      </c>
      <c r="B105" s="10">
        <v>45683</v>
      </c>
      <c r="C105" s="10" t="s">
        <v>50</v>
      </c>
      <c r="D105" s="10" t="s">
        <v>51</v>
      </c>
      <c r="E105" s="10" t="s">
        <v>19</v>
      </c>
      <c r="F105" s="10" t="s">
        <v>20</v>
      </c>
      <c r="G105" s="10" t="s">
        <v>21</v>
      </c>
      <c r="H105" s="10">
        <v>4</v>
      </c>
      <c r="I105" s="10">
        <v>249.99</v>
      </c>
      <c r="J105" s="10" t="s">
        <v>59</v>
      </c>
      <c r="K105" s="10" t="s">
        <v>23</v>
      </c>
      <c r="L105" s="10" t="s">
        <v>29</v>
      </c>
      <c r="M105" s="10">
        <v>45217</v>
      </c>
      <c r="N105" s="10">
        <v>999.96</v>
      </c>
    </row>
    <row r="106" spans="1:14" x14ac:dyDescent="0.3">
      <c r="A106" s="10" t="s">
        <v>347</v>
      </c>
      <c r="B106" s="10">
        <v>45686</v>
      </c>
      <c r="C106" s="10" t="s">
        <v>254</v>
      </c>
      <c r="D106" s="10" t="s">
        <v>255</v>
      </c>
      <c r="E106" s="10" t="s">
        <v>63</v>
      </c>
      <c r="F106" s="10" t="s">
        <v>64</v>
      </c>
      <c r="G106" s="10" t="s">
        <v>21</v>
      </c>
      <c r="H106" s="10">
        <v>4</v>
      </c>
      <c r="I106" s="10">
        <v>899.99</v>
      </c>
      <c r="J106" s="10" t="s">
        <v>36</v>
      </c>
      <c r="K106" s="10" t="s">
        <v>23</v>
      </c>
      <c r="L106" s="10" t="s">
        <v>24</v>
      </c>
      <c r="M106" s="10">
        <v>44734</v>
      </c>
      <c r="N106" s="10">
        <v>3599.96</v>
      </c>
    </row>
    <row r="107" spans="1:14" x14ac:dyDescent="0.3">
      <c r="A107" s="10" t="s">
        <v>349</v>
      </c>
      <c r="B107" s="10">
        <v>45686</v>
      </c>
      <c r="C107" s="10" t="s">
        <v>295</v>
      </c>
      <c r="D107" s="10" t="s">
        <v>296</v>
      </c>
      <c r="E107" s="10" t="s">
        <v>82</v>
      </c>
      <c r="F107" s="10" t="s">
        <v>83</v>
      </c>
      <c r="G107" s="10" t="s">
        <v>21</v>
      </c>
      <c r="H107" s="10">
        <v>2</v>
      </c>
      <c r="I107" s="10">
        <v>699.99</v>
      </c>
      <c r="J107" s="10" t="s">
        <v>59</v>
      </c>
      <c r="K107" s="10" t="s">
        <v>23</v>
      </c>
      <c r="L107" s="10" t="s">
        <v>29</v>
      </c>
      <c r="M107" s="10">
        <v>44681</v>
      </c>
      <c r="N107" s="10">
        <v>1399.98</v>
      </c>
    </row>
    <row r="108" spans="1:14" x14ac:dyDescent="0.3">
      <c r="A108" s="10" t="s">
        <v>350</v>
      </c>
      <c r="B108" s="10">
        <v>45688</v>
      </c>
      <c r="C108" s="10" t="s">
        <v>67</v>
      </c>
      <c r="D108" s="10" t="s">
        <v>68</v>
      </c>
      <c r="E108" s="10" t="s">
        <v>82</v>
      </c>
      <c r="F108" s="10" t="s">
        <v>83</v>
      </c>
      <c r="G108" s="10" t="s">
        <v>21</v>
      </c>
      <c r="H108" s="10">
        <v>4</v>
      </c>
      <c r="I108" s="10">
        <v>699.99</v>
      </c>
      <c r="J108" s="10" t="s">
        <v>59</v>
      </c>
      <c r="K108" s="10" t="s">
        <v>52</v>
      </c>
      <c r="L108" s="10" t="s">
        <v>29</v>
      </c>
      <c r="M108" s="10">
        <v>44692</v>
      </c>
      <c r="N108" s="10">
        <v>2799.96</v>
      </c>
    </row>
    <row r="109" spans="1:14" x14ac:dyDescent="0.3">
      <c r="A109" s="10" t="s">
        <v>351</v>
      </c>
      <c r="B109" s="10">
        <v>45688</v>
      </c>
      <c r="C109" s="10" t="s">
        <v>125</v>
      </c>
      <c r="D109" s="10" t="s">
        <v>126</v>
      </c>
      <c r="E109" s="10" t="s">
        <v>119</v>
      </c>
      <c r="F109" s="10" t="s">
        <v>120</v>
      </c>
      <c r="G109" s="10" t="s">
        <v>21</v>
      </c>
      <c r="H109" s="10">
        <v>2</v>
      </c>
      <c r="I109" s="10">
        <v>89.99</v>
      </c>
      <c r="J109" s="10" t="s">
        <v>59</v>
      </c>
      <c r="K109" s="10" t="s">
        <v>37</v>
      </c>
      <c r="L109" s="10" t="s">
        <v>24</v>
      </c>
      <c r="M109" s="10">
        <v>44777</v>
      </c>
      <c r="N109" s="10">
        <v>179.98</v>
      </c>
    </row>
    <row r="110" spans="1:14" x14ac:dyDescent="0.3">
      <c r="A110" s="10" t="s">
        <v>352</v>
      </c>
      <c r="B110" s="10">
        <v>45688</v>
      </c>
      <c r="C110" s="10" t="s">
        <v>44</v>
      </c>
      <c r="D110" s="10" t="s">
        <v>45</v>
      </c>
      <c r="E110" s="10" t="s">
        <v>119</v>
      </c>
      <c r="F110" s="10" t="s">
        <v>120</v>
      </c>
      <c r="G110" s="10" t="s">
        <v>21</v>
      </c>
      <c r="H110" s="10">
        <v>3</v>
      </c>
      <c r="I110" s="10">
        <v>89.99</v>
      </c>
      <c r="J110" s="10" t="s">
        <v>59</v>
      </c>
      <c r="K110" s="10" t="s">
        <v>37</v>
      </c>
      <c r="L110" s="10" t="s">
        <v>29</v>
      </c>
      <c r="M110" s="10">
        <v>45307</v>
      </c>
      <c r="N110" s="10">
        <v>269.97000000000003</v>
      </c>
    </row>
    <row r="111" spans="1:14" x14ac:dyDescent="0.3">
      <c r="A111" s="10" t="s">
        <v>359</v>
      </c>
      <c r="B111" s="10">
        <v>45704</v>
      </c>
      <c r="C111" s="10" t="s">
        <v>17</v>
      </c>
      <c r="D111" s="10" t="s">
        <v>18</v>
      </c>
      <c r="E111" s="10" t="s">
        <v>119</v>
      </c>
      <c r="F111" s="10" t="s">
        <v>120</v>
      </c>
      <c r="G111" s="10" t="s">
        <v>21</v>
      </c>
      <c r="H111" s="10">
        <v>2</v>
      </c>
      <c r="I111" s="10">
        <v>89.99</v>
      </c>
      <c r="J111" s="10" t="s">
        <v>36</v>
      </c>
      <c r="K111" s="10" t="s">
        <v>23</v>
      </c>
      <c r="L111" s="10" t="s">
        <v>24</v>
      </c>
      <c r="M111" s="10">
        <v>45257</v>
      </c>
      <c r="N111" s="10">
        <v>179.98</v>
      </c>
    </row>
    <row r="112" spans="1:14" x14ac:dyDescent="0.3">
      <c r="A112" s="10" t="s">
        <v>361</v>
      </c>
      <c r="B112" s="10">
        <v>45707</v>
      </c>
      <c r="C112" s="10" t="s">
        <v>125</v>
      </c>
      <c r="D112" s="10" t="s">
        <v>126</v>
      </c>
      <c r="E112" s="10" t="s">
        <v>82</v>
      </c>
      <c r="F112" s="10" t="s">
        <v>83</v>
      </c>
      <c r="G112" s="10" t="s">
        <v>21</v>
      </c>
      <c r="H112" s="10">
        <v>5</v>
      </c>
      <c r="I112" s="10">
        <v>699.99</v>
      </c>
      <c r="J112" s="10" t="s">
        <v>36</v>
      </c>
      <c r="K112" s="10" t="s">
        <v>37</v>
      </c>
      <c r="L112" s="10" t="s">
        <v>29</v>
      </c>
      <c r="M112" s="10">
        <v>45352</v>
      </c>
      <c r="N112" s="10">
        <v>3499.95</v>
      </c>
    </row>
    <row r="113" spans="1:14" x14ac:dyDescent="0.3">
      <c r="A113" s="10" t="s">
        <v>363</v>
      </c>
      <c r="B113" s="10">
        <v>45708</v>
      </c>
      <c r="C113" s="10" t="s">
        <v>98</v>
      </c>
      <c r="D113" s="10" t="s">
        <v>99</v>
      </c>
      <c r="E113" s="10" t="s">
        <v>63</v>
      </c>
      <c r="F113" s="10" t="s">
        <v>64</v>
      </c>
      <c r="G113" s="10" t="s">
        <v>21</v>
      </c>
      <c r="H113" s="10">
        <v>3</v>
      </c>
      <c r="I113" s="10">
        <v>899.99</v>
      </c>
      <c r="J113" s="10" t="s">
        <v>22</v>
      </c>
      <c r="K113" s="10" t="s">
        <v>65</v>
      </c>
      <c r="L113" s="10" t="s">
        <v>38</v>
      </c>
      <c r="M113" s="10">
        <v>44613</v>
      </c>
      <c r="N113" s="10">
        <v>2699.97</v>
      </c>
    </row>
    <row r="114" spans="1:14" x14ac:dyDescent="0.3">
      <c r="A114" s="10" t="s">
        <v>366</v>
      </c>
      <c r="B114" s="10">
        <v>45710</v>
      </c>
      <c r="C114" s="10" t="s">
        <v>152</v>
      </c>
      <c r="D114" s="10" t="s">
        <v>153</v>
      </c>
      <c r="E114" s="10" t="s">
        <v>82</v>
      </c>
      <c r="F114" s="10" t="s">
        <v>83</v>
      </c>
      <c r="G114" s="10" t="s">
        <v>21</v>
      </c>
      <c r="H114" s="10">
        <v>1</v>
      </c>
      <c r="I114" s="10">
        <v>699.99</v>
      </c>
      <c r="J114" s="10" t="s">
        <v>36</v>
      </c>
      <c r="K114" s="10" t="s">
        <v>52</v>
      </c>
      <c r="L114" s="10" t="s">
        <v>24</v>
      </c>
      <c r="M114" s="10">
        <v>44934</v>
      </c>
      <c r="N114" s="10">
        <v>699.99</v>
      </c>
    </row>
    <row r="115" spans="1:14" x14ac:dyDescent="0.3">
      <c r="A115" s="10" t="s">
        <v>367</v>
      </c>
      <c r="B115" s="10">
        <v>45711</v>
      </c>
      <c r="C115" s="10" t="s">
        <v>248</v>
      </c>
      <c r="D115" s="10" t="s">
        <v>249</v>
      </c>
      <c r="E115" s="10" t="s">
        <v>82</v>
      </c>
      <c r="F115" s="10" t="s">
        <v>83</v>
      </c>
      <c r="G115" s="10" t="s">
        <v>21</v>
      </c>
      <c r="H115" s="10">
        <v>1</v>
      </c>
      <c r="I115" s="10">
        <v>699.99</v>
      </c>
      <c r="J115" s="10" t="s">
        <v>22</v>
      </c>
      <c r="K115" s="10" t="s">
        <v>42</v>
      </c>
      <c r="L115" s="10" t="s">
        <v>29</v>
      </c>
      <c r="M115" s="10">
        <v>44583</v>
      </c>
      <c r="N115" s="10">
        <v>699.99</v>
      </c>
    </row>
    <row r="116" spans="1:14" x14ac:dyDescent="0.3">
      <c r="A116" s="10" t="s">
        <v>369</v>
      </c>
      <c r="B116" s="10">
        <v>45711</v>
      </c>
      <c r="C116" s="10" t="s">
        <v>213</v>
      </c>
      <c r="D116" s="10" t="s">
        <v>214</v>
      </c>
      <c r="E116" s="10" t="s">
        <v>119</v>
      </c>
      <c r="F116" s="10" t="s">
        <v>120</v>
      </c>
      <c r="G116" s="10" t="s">
        <v>21</v>
      </c>
      <c r="H116" s="10">
        <v>5</v>
      </c>
      <c r="I116" s="10">
        <v>89.99</v>
      </c>
      <c r="J116" s="10" t="s">
        <v>36</v>
      </c>
      <c r="K116" s="10" t="s">
        <v>52</v>
      </c>
      <c r="L116" s="10" t="s">
        <v>29</v>
      </c>
      <c r="M116" s="10">
        <v>45140</v>
      </c>
      <c r="N116" s="10">
        <v>449.95</v>
      </c>
    </row>
    <row r="117" spans="1:14" x14ac:dyDescent="0.3">
      <c r="A117" s="10" t="s">
        <v>374</v>
      </c>
      <c r="B117" s="10">
        <v>45720</v>
      </c>
      <c r="C117" s="10" t="s">
        <v>228</v>
      </c>
      <c r="D117" s="10" t="s">
        <v>229</v>
      </c>
      <c r="E117" s="10" t="s">
        <v>82</v>
      </c>
      <c r="F117" s="10" t="s">
        <v>83</v>
      </c>
      <c r="G117" s="10" t="s">
        <v>21</v>
      </c>
      <c r="H117" s="10">
        <v>5</v>
      </c>
      <c r="I117" s="10">
        <v>699.99</v>
      </c>
      <c r="J117" s="10" t="s">
        <v>59</v>
      </c>
      <c r="K117" s="10" t="s">
        <v>65</v>
      </c>
      <c r="L117" s="10" t="s">
        <v>29</v>
      </c>
      <c r="M117" s="10">
        <v>45161</v>
      </c>
      <c r="N117" s="10">
        <v>3499.95</v>
      </c>
    </row>
    <row r="118" spans="1:14" x14ac:dyDescent="0.3">
      <c r="A118" s="10" t="s">
        <v>376</v>
      </c>
      <c r="B118" s="10">
        <v>45723</v>
      </c>
      <c r="C118" s="10" t="s">
        <v>17</v>
      </c>
      <c r="D118" s="10" t="s">
        <v>18</v>
      </c>
      <c r="E118" s="10" t="s">
        <v>119</v>
      </c>
      <c r="F118" s="10" t="s">
        <v>120</v>
      </c>
      <c r="G118" s="10" t="s">
        <v>21</v>
      </c>
      <c r="H118" s="10">
        <v>2</v>
      </c>
      <c r="I118" s="10">
        <v>89.99</v>
      </c>
      <c r="J118" s="10" t="s">
        <v>28</v>
      </c>
      <c r="K118" s="10" t="s">
        <v>52</v>
      </c>
      <c r="L118" s="10" t="s">
        <v>29</v>
      </c>
      <c r="M118" s="10">
        <v>45295</v>
      </c>
      <c r="N118" s="10">
        <v>179.98</v>
      </c>
    </row>
    <row r="119" spans="1:14" x14ac:dyDescent="0.3">
      <c r="A119" s="10" t="s">
        <v>377</v>
      </c>
      <c r="B119" s="10">
        <v>45723</v>
      </c>
      <c r="C119" s="10" t="s">
        <v>122</v>
      </c>
      <c r="D119" s="10" t="s">
        <v>123</v>
      </c>
      <c r="E119" s="10" t="s">
        <v>19</v>
      </c>
      <c r="F119" s="10" t="s">
        <v>20</v>
      </c>
      <c r="G119" s="10" t="s">
        <v>21</v>
      </c>
      <c r="H119" s="10">
        <v>5</v>
      </c>
      <c r="I119" s="10">
        <v>249.99</v>
      </c>
      <c r="J119" s="10" t="s">
        <v>22</v>
      </c>
      <c r="K119" s="10" t="s">
        <v>65</v>
      </c>
      <c r="L119" s="10" t="s">
        <v>38</v>
      </c>
      <c r="M119" s="10">
        <v>44540</v>
      </c>
      <c r="N119" s="10">
        <v>1249.95</v>
      </c>
    </row>
    <row r="120" spans="1:14" x14ac:dyDescent="0.3">
      <c r="A120" s="10" t="s">
        <v>379</v>
      </c>
      <c r="B120" s="10">
        <v>45724</v>
      </c>
      <c r="C120" s="10" t="s">
        <v>146</v>
      </c>
      <c r="D120" s="10" t="s">
        <v>147</v>
      </c>
      <c r="E120" s="10" t="s">
        <v>63</v>
      </c>
      <c r="F120" s="10" t="s">
        <v>64</v>
      </c>
      <c r="G120" s="10" t="s">
        <v>21</v>
      </c>
      <c r="H120" s="10">
        <v>5</v>
      </c>
      <c r="I120" s="10">
        <v>899.99</v>
      </c>
      <c r="J120" s="10" t="s">
        <v>36</v>
      </c>
      <c r="K120" s="10" t="s">
        <v>65</v>
      </c>
      <c r="L120" s="10" t="s">
        <v>29</v>
      </c>
      <c r="M120" s="10">
        <v>45389</v>
      </c>
      <c r="N120" s="10">
        <v>4499.95</v>
      </c>
    </row>
    <row r="121" spans="1:14" x14ac:dyDescent="0.3">
      <c r="A121" s="10" t="s">
        <v>381</v>
      </c>
      <c r="B121" s="10">
        <v>45726</v>
      </c>
      <c r="C121" s="10" t="s">
        <v>146</v>
      </c>
      <c r="D121" s="10" t="s">
        <v>147</v>
      </c>
      <c r="E121" s="10" t="s">
        <v>19</v>
      </c>
      <c r="F121" s="10" t="s">
        <v>20</v>
      </c>
      <c r="G121" s="10" t="s">
        <v>21</v>
      </c>
      <c r="H121" s="10">
        <v>1</v>
      </c>
      <c r="I121" s="10">
        <v>249.99</v>
      </c>
      <c r="J121" s="10" t="s">
        <v>22</v>
      </c>
      <c r="K121" s="10" t="s">
        <v>42</v>
      </c>
      <c r="L121" s="10" t="s">
        <v>38</v>
      </c>
      <c r="M121" s="10">
        <v>45117</v>
      </c>
      <c r="N121" s="10">
        <v>249.99</v>
      </c>
    </row>
    <row r="122" spans="1:14" x14ac:dyDescent="0.3">
      <c r="A122" s="10" t="s">
        <v>384</v>
      </c>
      <c r="B122" s="10">
        <v>45737</v>
      </c>
      <c r="C122" s="10" t="s">
        <v>152</v>
      </c>
      <c r="D122" s="10" t="s">
        <v>153</v>
      </c>
      <c r="E122" s="10" t="s">
        <v>63</v>
      </c>
      <c r="F122" s="10" t="s">
        <v>64</v>
      </c>
      <c r="G122" s="10" t="s">
        <v>21</v>
      </c>
      <c r="H122" s="10">
        <v>3</v>
      </c>
      <c r="I122" s="10">
        <v>899.99</v>
      </c>
      <c r="J122" s="10" t="s">
        <v>59</v>
      </c>
      <c r="K122" s="10" t="s">
        <v>42</v>
      </c>
      <c r="L122" s="10" t="s">
        <v>29</v>
      </c>
      <c r="M122" s="10">
        <v>44876</v>
      </c>
      <c r="N122" s="10">
        <v>2699.97</v>
      </c>
    </row>
    <row r="123" spans="1:14" x14ac:dyDescent="0.3">
      <c r="A123" s="10" t="s">
        <v>385</v>
      </c>
      <c r="B123" s="10">
        <v>45737</v>
      </c>
      <c r="C123" s="10" t="s">
        <v>50</v>
      </c>
      <c r="D123" s="10" t="s">
        <v>51</v>
      </c>
      <c r="E123" s="10" t="s">
        <v>63</v>
      </c>
      <c r="F123" s="10" t="s">
        <v>64</v>
      </c>
      <c r="G123" s="10" t="s">
        <v>21</v>
      </c>
      <c r="H123" s="10">
        <v>3</v>
      </c>
      <c r="I123" s="10">
        <v>899.99</v>
      </c>
      <c r="J123" s="10" t="s">
        <v>36</v>
      </c>
      <c r="K123" s="10" t="s">
        <v>42</v>
      </c>
      <c r="L123" s="10" t="s">
        <v>24</v>
      </c>
      <c r="M123" s="10">
        <v>44975</v>
      </c>
      <c r="N123" s="10">
        <v>2699.97</v>
      </c>
    </row>
    <row r="124" spans="1:14" x14ac:dyDescent="0.3">
      <c r="A124" s="10" t="s">
        <v>391</v>
      </c>
      <c r="B124" s="10">
        <v>45745</v>
      </c>
      <c r="C124" s="10" t="s">
        <v>187</v>
      </c>
      <c r="D124" s="10" t="s">
        <v>188</v>
      </c>
      <c r="E124" s="10" t="s">
        <v>119</v>
      </c>
      <c r="F124" s="10" t="s">
        <v>120</v>
      </c>
      <c r="G124" s="10" t="s">
        <v>21</v>
      </c>
      <c r="H124" s="10">
        <v>5</v>
      </c>
      <c r="I124" s="10">
        <v>89.99</v>
      </c>
      <c r="J124" s="10" t="s">
        <v>36</v>
      </c>
      <c r="K124" s="10" t="s">
        <v>37</v>
      </c>
      <c r="L124" s="10" t="s">
        <v>24</v>
      </c>
      <c r="M124" s="10">
        <v>44704</v>
      </c>
      <c r="N124" s="10">
        <v>449.95</v>
      </c>
    </row>
    <row r="125" spans="1:14" x14ac:dyDescent="0.3">
      <c r="A125" s="10" t="s">
        <v>393</v>
      </c>
      <c r="B125" s="10">
        <v>45746</v>
      </c>
      <c r="C125" s="10" t="s">
        <v>67</v>
      </c>
      <c r="D125" s="10" t="s">
        <v>68</v>
      </c>
      <c r="E125" s="10" t="s">
        <v>119</v>
      </c>
      <c r="F125" s="10" t="s">
        <v>120</v>
      </c>
      <c r="G125" s="10" t="s">
        <v>21</v>
      </c>
      <c r="H125" s="10">
        <v>2</v>
      </c>
      <c r="I125" s="10">
        <v>89.99</v>
      </c>
      <c r="J125" s="10" t="s">
        <v>59</v>
      </c>
      <c r="K125" s="10" t="s">
        <v>52</v>
      </c>
      <c r="L125" s="10" t="s">
        <v>29</v>
      </c>
      <c r="M125" s="10">
        <v>44522</v>
      </c>
      <c r="N125" s="10">
        <v>179.98</v>
      </c>
    </row>
    <row r="126" spans="1:14" x14ac:dyDescent="0.3">
      <c r="A126" s="10" t="s">
        <v>394</v>
      </c>
      <c r="B126" s="10">
        <v>45748</v>
      </c>
      <c r="C126" s="10" t="s">
        <v>104</v>
      </c>
      <c r="D126" s="10" t="s">
        <v>105</v>
      </c>
      <c r="E126" s="10" t="s">
        <v>82</v>
      </c>
      <c r="F126" s="10" t="s">
        <v>83</v>
      </c>
      <c r="G126" s="10" t="s">
        <v>21</v>
      </c>
      <c r="H126" s="10">
        <v>2</v>
      </c>
      <c r="I126" s="10">
        <v>699.99</v>
      </c>
      <c r="J126" s="10" t="s">
        <v>36</v>
      </c>
      <c r="K126" s="10" t="s">
        <v>42</v>
      </c>
      <c r="L126" s="10" t="s">
        <v>38</v>
      </c>
      <c r="M126" s="10">
        <v>44618</v>
      </c>
      <c r="N126" s="10">
        <v>1399.98</v>
      </c>
    </row>
    <row r="127" spans="1:14" x14ac:dyDescent="0.3">
      <c r="A127" s="10" t="s">
        <v>395</v>
      </c>
      <c r="B127" s="10">
        <v>45749</v>
      </c>
      <c r="C127" s="10" t="s">
        <v>125</v>
      </c>
      <c r="D127" s="10" t="s">
        <v>126</v>
      </c>
      <c r="E127" s="10" t="s">
        <v>63</v>
      </c>
      <c r="F127" s="10" t="s">
        <v>64</v>
      </c>
      <c r="G127" s="10" t="s">
        <v>21</v>
      </c>
      <c r="H127" s="10">
        <v>3</v>
      </c>
      <c r="I127" s="10">
        <v>899.99</v>
      </c>
      <c r="J127" s="10" t="s">
        <v>22</v>
      </c>
      <c r="K127" s="10" t="s">
        <v>23</v>
      </c>
      <c r="L127" s="10" t="s">
        <v>38</v>
      </c>
      <c r="M127" s="10">
        <v>44953</v>
      </c>
      <c r="N127" s="10">
        <v>2699.97</v>
      </c>
    </row>
    <row r="128" spans="1:14" x14ac:dyDescent="0.3">
      <c r="A128" s="10" t="s">
        <v>397</v>
      </c>
      <c r="B128" s="10">
        <v>45756</v>
      </c>
      <c r="C128" s="10" t="s">
        <v>61</v>
      </c>
      <c r="D128" s="10" t="s">
        <v>62</v>
      </c>
      <c r="E128" s="10" t="s">
        <v>119</v>
      </c>
      <c r="F128" s="10" t="s">
        <v>120</v>
      </c>
      <c r="G128" s="10" t="s">
        <v>21</v>
      </c>
      <c r="H128" s="10">
        <v>1</v>
      </c>
      <c r="I128" s="10">
        <v>89.99</v>
      </c>
      <c r="J128" s="10" t="s">
        <v>59</v>
      </c>
      <c r="K128" s="10" t="s">
        <v>65</v>
      </c>
      <c r="L128" s="10" t="s">
        <v>24</v>
      </c>
      <c r="M128" s="10">
        <v>45346</v>
      </c>
      <c r="N128" s="10">
        <v>89.99</v>
      </c>
    </row>
    <row r="129" spans="1:14" x14ac:dyDescent="0.3">
      <c r="A129" s="10" t="s">
        <v>398</v>
      </c>
      <c r="B129" s="10">
        <v>45758</v>
      </c>
      <c r="C129" s="10" t="s">
        <v>295</v>
      </c>
      <c r="D129" s="10" t="s">
        <v>296</v>
      </c>
      <c r="E129" s="10" t="s">
        <v>82</v>
      </c>
      <c r="F129" s="10" t="s">
        <v>83</v>
      </c>
      <c r="G129" s="10" t="s">
        <v>21</v>
      </c>
      <c r="H129" s="10">
        <v>3</v>
      </c>
      <c r="I129" s="10">
        <v>699.99</v>
      </c>
      <c r="J129" s="10" t="s">
        <v>36</v>
      </c>
      <c r="K129" s="10" t="s">
        <v>42</v>
      </c>
      <c r="L129" s="10" t="s">
        <v>24</v>
      </c>
      <c r="M129" s="10">
        <v>44909</v>
      </c>
      <c r="N129" s="10">
        <v>2099.9699999999998</v>
      </c>
    </row>
    <row r="130" spans="1:14" x14ac:dyDescent="0.3">
      <c r="A130" s="10" t="s">
        <v>399</v>
      </c>
      <c r="B130" s="10">
        <v>45758</v>
      </c>
      <c r="C130" s="10" t="s">
        <v>228</v>
      </c>
      <c r="D130" s="10" t="s">
        <v>229</v>
      </c>
      <c r="E130" s="10" t="s">
        <v>119</v>
      </c>
      <c r="F130" s="10" t="s">
        <v>120</v>
      </c>
      <c r="G130" s="10" t="s">
        <v>21</v>
      </c>
      <c r="H130" s="10">
        <v>2</v>
      </c>
      <c r="I130" s="10">
        <v>89.99</v>
      </c>
      <c r="J130" s="10" t="s">
        <v>59</v>
      </c>
      <c r="K130" s="10" t="s">
        <v>65</v>
      </c>
      <c r="L130" s="10" t="s">
        <v>24</v>
      </c>
      <c r="M130" s="10">
        <v>45088</v>
      </c>
      <c r="N130" s="10">
        <v>179.98</v>
      </c>
    </row>
    <row r="131" spans="1:14" x14ac:dyDescent="0.3">
      <c r="A131" s="10" t="s">
        <v>400</v>
      </c>
      <c r="B131" s="10">
        <v>45758</v>
      </c>
      <c r="C131" s="10" t="s">
        <v>140</v>
      </c>
      <c r="D131" s="10" t="s">
        <v>141</v>
      </c>
      <c r="E131" s="10" t="s">
        <v>119</v>
      </c>
      <c r="F131" s="10" t="s">
        <v>120</v>
      </c>
      <c r="G131" s="10" t="s">
        <v>21</v>
      </c>
      <c r="H131" s="10">
        <v>3</v>
      </c>
      <c r="I131" s="10">
        <v>89.99</v>
      </c>
      <c r="J131" s="10" t="s">
        <v>59</v>
      </c>
      <c r="K131" s="10" t="s">
        <v>42</v>
      </c>
      <c r="L131" s="10" t="s">
        <v>29</v>
      </c>
      <c r="M131" s="10">
        <v>44878</v>
      </c>
      <c r="N131" s="10">
        <v>269.97000000000003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Scenario Summary</vt:lpstr>
      <vt:lpstr>linear regression</vt:lpstr>
      <vt:lpstr>high value customer</vt:lpstr>
      <vt:lpstr>dashboard</vt:lpstr>
      <vt:lpstr>report</vt:lpstr>
      <vt:lpstr>data</vt:lpstr>
      <vt:lpstr>electronic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ANKAN</dc:creator>
  <cp:lastModifiedBy>tanishjain06102005@gmail.com</cp:lastModifiedBy>
  <dcterms:created xsi:type="dcterms:W3CDTF">2026-02-07T01:32:52Z</dcterms:created>
  <dcterms:modified xsi:type="dcterms:W3CDTF">2026-02-16T07:39:29Z</dcterms:modified>
</cp:coreProperties>
</file>